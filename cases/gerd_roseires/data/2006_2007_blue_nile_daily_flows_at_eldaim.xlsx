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emo\Documents\my_stuff\flow-sim\cases\gerd_roseires\data\"/>
    </mc:Choice>
  </mc:AlternateContent>
  <xr:revisionPtr revIDLastSave="0" documentId="13_ncr:1_{4BCAC4A0-3779-4A1F-97E1-830C2D691231}" xr6:coauthVersionLast="47" xr6:coauthVersionMax="47" xr10:uidLastSave="{00000000-0000-0000-0000-000000000000}"/>
  <bookViews>
    <workbookView xWindow="-120" yWindow="-120" windowWidth="29040" windowHeight="15720" xr2:uid="{3CB45D6E-FB9C-472F-A3F1-B04029A572E4}"/>
  </bookViews>
  <sheets>
    <sheet name="raw" sheetId="1" r:id="rId1"/>
    <sheet name="converted" sheetId="2" r:id="rId2"/>
    <sheet name="event window" sheetId="3" r:id="rId3"/>
    <sheet name="appended" sheetId="4" r:id="rId4"/>
    <sheet name="hourl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4" i="4"/>
  <c r="A3" i="6"/>
  <c r="A4" i="6"/>
  <c r="A5" i="6"/>
  <c r="A7" i="6"/>
  <c r="A10" i="6"/>
  <c r="A15" i="6"/>
  <c r="A16" i="6"/>
  <c r="A17" i="6"/>
  <c r="A18" i="6"/>
  <c r="A2" i="6"/>
  <c r="B1" i="6"/>
  <c r="B7" i="4"/>
  <c r="B7" i="6" s="1"/>
  <c r="A6" i="4"/>
  <c r="A6" i="6" s="1"/>
  <c r="A7" i="4"/>
  <c r="A10" i="4"/>
  <c r="A5" i="4"/>
  <c r="A3" i="3"/>
  <c r="A4" i="3"/>
  <c r="B4" i="3"/>
  <c r="A5" i="3"/>
  <c r="A8" i="4" s="1"/>
  <c r="A8" i="6" s="1"/>
  <c r="B5" i="3"/>
  <c r="B8" i="4" s="1"/>
  <c r="B8" i="6" s="1"/>
  <c r="A6" i="3"/>
  <c r="A9" i="4" s="1"/>
  <c r="A9" i="6" s="1"/>
  <c r="A7" i="3"/>
  <c r="A8" i="3"/>
  <c r="A11" i="4" s="1"/>
  <c r="A11" i="6" s="1"/>
  <c r="A9" i="3"/>
  <c r="A12" i="4" s="1"/>
  <c r="A12" i="6" s="1"/>
  <c r="A10" i="3"/>
  <c r="A13" i="4" s="1"/>
  <c r="A13" i="6" s="1"/>
  <c r="B10" i="3"/>
  <c r="B13" i="4" s="1"/>
  <c r="B13" i="6" s="1"/>
  <c r="A11" i="3"/>
  <c r="A14" i="4" s="1"/>
  <c r="A14" i="6" s="1"/>
  <c r="B11" i="3"/>
  <c r="B14" i="4" s="1"/>
  <c r="B2" i="3"/>
  <c r="B5" i="4" s="1"/>
  <c r="B5" i="6" s="1"/>
  <c r="A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3" i="3" s="1"/>
  <c r="B6" i="4" s="1"/>
  <c r="B6" i="6" s="1"/>
  <c r="B56" i="2"/>
  <c r="B57" i="2"/>
  <c r="B58" i="2"/>
  <c r="B6" i="3" s="1"/>
  <c r="B9" i="4" s="1"/>
  <c r="B9" i="6" s="1"/>
  <c r="B59" i="2"/>
  <c r="B7" i="3" s="1"/>
  <c r="B10" i="4" s="1"/>
  <c r="B10" i="6" s="1"/>
  <c r="B60" i="2"/>
  <c r="B8" i="3" s="1"/>
  <c r="B11" i="4" s="1"/>
  <c r="B11" i="6" s="1"/>
  <c r="B61" i="2"/>
  <c r="B9" i="3" s="1"/>
  <c r="B12" i="4" s="1"/>
  <c r="B12" i="6" s="1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2" i="2"/>
  <c r="B15" i="4" l="1"/>
  <c r="B15" i="6" s="1"/>
  <c r="B14" i="6"/>
  <c r="B18" i="4"/>
  <c r="B18" i="6" s="1"/>
  <c r="B16" i="4"/>
  <c r="B16" i="6" s="1"/>
  <c r="B17" i="4"/>
  <c r="B17" i="6" s="1"/>
  <c r="B4" i="4"/>
  <c r="B4" i="6" s="1"/>
  <c r="B2" i="4"/>
  <c r="B2" i="6" s="1"/>
  <c r="B3" i="4"/>
  <c r="B3" i="6" s="1"/>
</calcChain>
</file>

<file path=xl/sharedStrings.xml><?xml version="1.0" encoding="utf-8"?>
<sst xmlns="http://schemas.openxmlformats.org/spreadsheetml/2006/main" count="12" uniqueCount="8">
  <si>
    <t>day</t>
  </si>
  <si>
    <t>discharge (m^3/s)</t>
  </si>
  <si>
    <t>base flow</t>
  </si>
  <si>
    <t>fron tail duration</t>
  </si>
  <si>
    <t>back tail duration</t>
  </si>
  <si>
    <t>front tau</t>
  </si>
  <si>
    <t>back tau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</si>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</sst>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raw!$A$1:$A$365</c:f>
              <c:numCache>
                <c:formatCode>m/d/yyyy</c:formatCode>
                <c:ptCount val="365"/>
                <c:pt idx="0">
                  <c:v>38899</c:v>
                </c:pt>
                <c:pt idx="1">
                  <c:v>38900</c:v>
                </c:pt>
                <c:pt idx="2">
                  <c:v>38901</c:v>
                </c:pt>
                <c:pt idx="3">
                  <c:v>38902</c:v>
                </c:pt>
                <c:pt idx="4">
                  <c:v>38903</c:v>
                </c:pt>
                <c:pt idx="5">
                  <c:v>38904</c:v>
                </c:pt>
                <c:pt idx="6">
                  <c:v>38905</c:v>
                </c:pt>
                <c:pt idx="7">
                  <c:v>38906</c:v>
                </c:pt>
                <c:pt idx="8">
                  <c:v>38907</c:v>
                </c:pt>
                <c:pt idx="9">
                  <c:v>38908</c:v>
                </c:pt>
                <c:pt idx="10">
                  <c:v>38909</c:v>
                </c:pt>
                <c:pt idx="11">
                  <c:v>38910</c:v>
                </c:pt>
                <c:pt idx="12">
                  <c:v>38911</c:v>
                </c:pt>
                <c:pt idx="13">
                  <c:v>38912</c:v>
                </c:pt>
                <c:pt idx="14">
                  <c:v>38913</c:v>
                </c:pt>
                <c:pt idx="15">
                  <c:v>38914</c:v>
                </c:pt>
                <c:pt idx="16">
                  <c:v>38915</c:v>
                </c:pt>
                <c:pt idx="17">
                  <c:v>38916</c:v>
                </c:pt>
                <c:pt idx="18">
                  <c:v>38917</c:v>
                </c:pt>
                <c:pt idx="19">
                  <c:v>38918</c:v>
                </c:pt>
                <c:pt idx="20">
                  <c:v>38919</c:v>
                </c:pt>
                <c:pt idx="21">
                  <c:v>38920</c:v>
                </c:pt>
                <c:pt idx="22">
                  <c:v>38921</c:v>
                </c:pt>
                <c:pt idx="23">
                  <c:v>38922</c:v>
                </c:pt>
                <c:pt idx="24">
                  <c:v>38923</c:v>
                </c:pt>
                <c:pt idx="25">
                  <c:v>38924</c:v>
                </c:pt>
                <c:pt idx="26">
                  <c:v>38925</c:v>
                </c:pt>
                <c:pt idx="27">
                  <c:v>38926</c:v>
                </c:pt>
                <c:pt idx="28">
                  <c:v>38927</c:v>
                </c:pt>
                <c:pt idx="29">
                  <c:v>38928</c:v>
                </c:pt>
                <c:pt idx="30">
                  <c:v>38929</c:v>
                </c:pt>
                <c:pt idx="31">
                  <c:v>38930</c:v>
                </c:pt>
                <c:pt idx="32">
                  <c:v>38931</c:v>
                </c:pt>
                <c:pt idx="33">
                  <c:v>38932</c:v>
                </c:pt>
                <c:pt idx="34">
                  <c:v>38933</c:v>
                </c:pt>
                <c:pt idx="35">
                  <c:v>38934</c:v>
                </c:pt>
                <c:pt idx="36">
                  <c:v>38935</c:v>
                </c:pt>
                <c:pt idx="37">
                  <c:v>38936</c:v>
                </c:pt>
                <c:pt idx="38">
                  <c:v>38937</c:v>
                </c:pt>
                <c:pt idx="39">
                  <c:v>38938</c:v>
                </c:pt>
                <c:pt idx="40">
                  <c:v>38939</c:v>
                </c:pt>
                <c:pt idx="41">
                  <c:v>38940</c:v>
                </c:pt>
                <c:pt idx="42">
                  <c:v>38941</c:v>
                </c:pt>
                <c:pt idx="43">
                  <c:v>38942</c:v>
                </c:pt>
                <c:pt idx="44">
                  <c:v>38943</c:v>
                </c:pt>
                <c:pt idx="45">
                  <c:v>38944</c:v>
                </c:pt>
                <c:pt idx="46">
                  <c:v>38945</c:v>
                </c:pt>
                <c:pt idx="47">
                  <c:v>38946</c:v>
                </c:pt>
                <c:pt idx="48">
                  <c:v>38947</c:v>
                </c:pt>
                <c:pt idx="49">
                  <c:v>38948</c:v>
                </c:pt>
                <c:pt idx="50">
                  <c:v>38949</c:v>
                </c:pt>
                <c:pt idx="51">
                  <c:v>38950</c:v>
                </c:pt>
                <c:pt idx="52">
                  <c:v>38951</c:v>
                </c:pt>
                <c:pt idx="53">
                  <c:v>38952</c:v>
                </c:pt>
                <c:pt idx="54">
                  <c:v>38953</c:v>
                </c:pt>
                <c:pt idx="55">
                  <c:v>38954</c:v>
                </c:pt>
                <c:pt idx="56">
                  <c:v>38955</c:v>
                </c:pt>
                <c:pt idx="57">
                  <c:v>38956</c:v>
                </c:pt>
                <c:pt idx="58">
                  <c:v>38957</c:v>
                </c:pt>
                <c:pt idx="59">
                  <c:v>38958</c:v>
                </c:pt>
                <c:pt idx="60">
                  <c:v>38959</c:v>
                </c:pt>
                <c:pt idx="61">
                  <c:v>38960</c:v>
                </c:pt>
                <c:pt idx="62">
                  <c:v>38961</c:v>
                </c:pt>
                <c:pt idx="63">
                  <c:v>38962</c:v>
                </c:pt>
                <c:pt idx="64">
                  <c:v>38963</c:v>
                </c:pt>
                <c:pt idx="65">
                  <c:v>38964</c:v>
                </c:pt>
                <c:pt idx="66">
                  <c:v>38965</c:v>
                </c:pt>
                <c:pt idx="67">
                  <c:v>38966</c:v>
                </c:pt>
                <c:pt idx="68">
                  <c:v>38967</c:v>
                </c:pt>
                <c:pt idx="69">
                  <c:v>38968</c:v>
                </c:pt>
                <c:pt idx="70">
                  <c:v>38969</c:v>
                </c:pt>
                <c:pt idx="71">
                  <c:v>38970</c:v>
                </c:pt>
                <c:pt idx="72">
                  <c:v>38971</c:v>
                </c:pt>
                <c:pt idx="73">
                  <c:v>38972</c:v>
                </c:pt>
                <c:pt idx="74">
                  <c:v>38973</c:v>
                </c:pt>
                <c:pt idx="75">
                  <c:v>38974</c:v>
                </c:pt>
                <c:pt idx="76">
                  <c:v>38975</c:v>
                </c:pt>
                <c:pt idx="77">
                  <c:v>38976</c:v>
                </c:pt>
                <c:pt idx="78">
                  <c:v>38977</c:v>
                </c:pt>
                <c:pt idx="79">
                  <c:v>38978</c:v>
                </c:pt>
                <c:pt idx="80">
                  <c:v>38979</c:v>
                </c:pt>
                <c:pt idx="81">
                  <c:v>38980</c:v>
                </c:pt>
                <c:pt idx="82">
                  <c:v>38981</c:v>
                </c:pt>
                <c:pt idx="83">
                  <c:v>38982</c:v>
                </c:pt>
                <c:pt idx="84">
                  <c:v>38983</c:v>
                </c:pt>
                <c:pt idx="85">
                  <c:v>38984</c:v>
                </c:pt>
                <c:pt idx="86">
                  <c:v>38985</c:v>
                </c:pt>
                <c:pt idx="87">
                  <c:v>38986</c:v>
                </c:pt>
                <c:pt idx="88">
                  <c:v>38987</c:v>
                </c:pt>
                <c:pt idx="89">
                  <c:v>38988</c:v>
                </c:pt>
                <c:pt idx="90">
                  <c:v>38989</c:v>
                </c:pt>
                <c:pt idx="91">
                  <c:v>38990</c:v>
                </c:pt>
                <c:pt idx="92">
                  <c:v>38991</c:v>
                </c:pt>
                <c:pt idx="93">
                  <c:v>38992</c:v>
                </c:pt>
                <c:pt idx="94">
                  <c:v>38993</c:v>
                </c:pt>
                <c:pt idx="95">
                  <c:v>38994</c:v>
                </c:pt>
                <c:pt idx="96">
                  <c:v>38995</c:v>
                </c:pt>
                <c:pt idx="97">
                  <c:v>38996</c:v>
                </c:pt>
                <c:pt idx="98">
                  <c:v>38997</c:v>
                </c:pt>
                <c:pt idx="99">
                  <c:v>38998</c:v>
                </c:pt>
                <c:pt idx="100">
                  <c:v>38999</c:v>
                </c:pt>
                <c:pt idx="101">
                  <c:v>39000</c:v>
                </c:pt>
                <c:pt idx="102">
                  <c:v>39001</c:v>
                </c:pt>
                <c:pt idx="103">
                  <c:v>39002</c:v>
                </c:pt>
                <c:pt idx="104">
                  <c:v>39003</c:v>
                </c:pt>
                <c:pt idx="105">
                  <c:v>39004</c:v>
                </c:pt>
                <c:pt idx="106">
                  <c:v>39005</c:v>
                </c:pt>
                <c:pt idx="107">
                  <c:v>39006</c:v>
                </c:pt>
                <c:pt idx="108">
                  <c:v>39007</c:v>
                </c:pt>
                <c:pt idx="109">
                  <c:v>39008</c:v>
                </c:pt>
                <c:pt idx="110">
                  <c:v>39009</c:v>
                </c:pt>
                <c:pt idx="111">
                  <c:v>39010</c:v>
                </c:pt>
                <c:pt idx="112">
                  <c:v>39011</c:v>
                </c:pt>
                <c:pt idx="113">
                  <c:v>39012</c:v>
                </c:pt>
                <c:pt idx="114">
                  <c:v>39013</c:v>
                </c:pt>
                <c:pt idx="115">
                  <c:v>39014</c:v>
                </c:pt>
                <c:pt idx="116">
                  <c:v>39015</c:v>
                </c:pt>
                <c:pt idx="117">
                  <c:v>39016</c:v>
                </c:pt>
                <c:pt idx="118">
                  <c:v>39017</c:v>
                </c:pt>
                <c:pt idx="119">
                  <c:v>39018</c:v>
                </c:pt>
                <c:pt idx="120">
                  <c:v>39019</c:v>
                </c:pt>
                <c:pt idx="121">
                  <c:v>39020</c:v>
                </c:pt>
                <c:pt idx="122">
                  <c:v>39021</c:v>
                </c:pt>
                <c:pt idx="123">
                  <c:v>39022</c:v>
                </c:pt>
                <c:pt idx="124">
                  <c:v>39023</c:v>
                </c:pt>
                <c:pt idx="125">
                  <c:v>39024</c:v>
                </c:pt>
                <c:pt idx="126">
                  <c:v>39025</c:v>
                </c:pt>
                <c:pt idx="127">
                  <c:v>39026</c:v>
                </c:pt>
                <c:pt idx="128">
                  <c:v>39027</c:v>
                </c:pt>
                <c:pt idx="129">
                  <c:v>39028</c:v>
                </c:pt>
                <c:pt idx="130">
                  <c:v>39029</c:v>
                </c:pt>
                <c:pt idx="131">
                  <c:v>39030</c:v>
                </c:pt>
                <c:pt idx="132">
                  <c:v>39031</c:v>
                </c:pt>
                <c:pt idx="133">
                  <c:v>39032</c:v>
                </c:pt>
                <c:pt idx="134">
                  <c:v>39033</c:v>
                </c:pt>
                <c:pt idx="135">
                  <c:v>39034</c:v>
                </c:pt>
                <c:pt idx="136">
                  <c:v>39035</c:v>
                </c:pt>
                <c:pt idx="137">
                  <c:v>39036</c:v>
                </c:pt>
                <c:pt idx="138">
                  <c:v>39037</c:v>
                </c:pt>
                <c:pt idx="139">
                  <c:v>39038</c:v>
                </c:pt>
                <c:pt idx="140">
                  <c:v>39039</c:v>
                </c:pt>
                <c:pt idx="141">
                  <c:v>39040</c:v>
                </c:pt>
                <c:pt idx="142">
                  <c:v>39041</c:v>
                </c:pt>
                <c:pt idx="143">
                  <c:v>39042</c:v>
                </c:pt>
                <c:pt idx="144">
                  <c:v>39043</c:v>
                </c:pt>
                <c:pt idx="145">
                  <c:v>39044</c:v>
                </c:pt>
                <c:pt idx="146">
                  <c:v>39045</c:v>
                </c:pt>
                <c:pt idx="147">
                  <c:v>39046</c:v>
                </c:pt>
                <c:pt idx="148">
                  <c:v>39047</c:v>
                </c:pt>
                <c:pt idx="149">
                  <c:v>39048</c:v>
                </c:pt>
                <c:pt idx="150">
                  <c:v>39049</c:v>
                </c:pt>
                <c:pt idx="151">
                  <c:v>39050</c:v>
                </c:pt>
                <c:pt idx="152">
                  <c:v>39051</c:v>
                </c:pt>
                <c:pt idx="153">
                  <c:v>39052</c:v>
                </c:pt>
                <c:pt idx="154">
                  <c:v>39053</c:v>
                </c:pt>
                <c:pt idx="155">
                  <c:v>39054</c:v>
                </c:pt>
                <c:pt idx="156">
                  <c:v>39055</c:v>
                </c:pt>
                <c:pt idx="157">
                  <c:v>39056</c:v>
                </c:pt>
                <c:pt idx="158">
                  <c:v>39057</c:v>
                </c:pt>
                <c:pt idx="159">
                  <c:v>39058</c:v>
                </c:pt>
                <c:pt idx="160">
                  <c:v>39059</c:v>
                </c:pt>
                <c:pt idx="161">
                  <c:v>39060</c:v>
                </c:pt>
                <c:pt idx="162">
                  <c:v>39061</c:v>
                </c:pt>
                <c:pt idx="163">
                  <c:v>39062</c:v>
                </c:pt>
                <c:pt idx="164">
                  <c:v>39063</c:v>
                </c:pt>
                <c:pt idx="165">
                  <c:v>39064</c:v>
                </c:pt>
                <c:pt idx="166">
                  <c:v>39065</c:v>
                </c:pt>
                <c:pt idx="167">
                  <c:v>39066</c:v>
                </c:pt>
                <c:pt idx="168">
                  <c:v>39067</c:v>
                </c:pt>
                <c:pt idx="169">
                  <c:v>39068</c:v>
                </c:pt>
                <c:pt idx="170">
                  <c:v>39069</c:v>
                </c:pt>
                <c:pt idx="171">
                  <c:v>39070</c:v>
                </c:pt>
                <c:pt idx="172">
                  <c:v>39071</c:v>
                </c:pt>
                <c:pt idx="173">
                  <c:v>39072</c:v>
                </c:pt>
                <c:pt idx="174">
                  <c:v>39073</c:v>
                </c:pt>
                <c:pt idx="175">
                  <c:v>39074</c:v>
                </c:pt>
                <c:pt idx="176">
                  <c:v>39075</c:v>
                </c:pt>
                <c:pt idx="177">
                  <c:v>39076</c:v>
                </c:pt>
                <c:pt idx="178">
                  <c:v>39077</c:v>
                </c:pt>
                <c:pt idx="179">
                  <c:v>39078</c:v>
                </c:pt>
                <c:pt idx="180">
                  <c:v>39079</c:v>
                </c:pt>
                <c:pt idx="181">
                  <c:v>39080</c:v>
                </c:pt>
                <c:pt idx="182">
                  <c:v>39081</c:v>
                </c:pt>
                <c:pt idx="183">
                  <c:v>39082</c:v>
                </c:pt>
                <c:pt idx="184">
                  <c:v>39083</c:v>
                </c:pt>
                <c:pt idx="185">
                  <c:v>39084</c:v>
                </c:pt>
                <c:pt idx="186">
                  <c:v>39085</c:v>
                </c:pt>
                <c:pt idx="187">
                  <c:v>39086</c:v>
                </c:pt>
                <c:pt idx="188">
                  <c:v>39087</c:v>
                </c:pt>
                <c:pt idx="189">
                  <c:v>39088</c:v>
                </c:pt>
                <c:pt idx="190">
                  <c:v>39089</c:v>
                </c:pt>
                <c:pt idx="191">
                  <c:v>39090</c:v>
                </c:pt>
                <c:pt idx="192">
                  <c:v>39091</c:v>
                </c:pt>
                <c:pt idx="193">
                  <c:v>39092</c:v>
                </c:pt>
                <c:pt idx="194">
                  <c:v>39093</c:v>
                </c:pt>
                <c:pt idx="195">
                  <c:v>39094</c:v>
                </c:pt>
                <c:pt idx="196">
                  <c:v>39095</c:v>
                </c:pt>
                <c:pt idx="197">
                  <c:v>39096</c:v>
                </c:pt>
                <c:pt idx="198">
                  <c:v>39097</c:v>
                </c:pt>
                <c:pt idx="199">
                  <c:v>39098</c:v>
                </c:pt>
                <c:pt idx="200">
                  <c:v>39099</c:v>
                </c:pt>
                <c:pt idx="201">
                  <c:v>39100</c:v>
                </c:pt>
                <c:pt idx="202">
                  <c:v>39101</c:v>
                </c:pt>
                <c:pt idx="203">
                  <c:v>39102</c:v>
                </c:pt>
                <c:pt idx="204">
                  <c:v>39103</c:v>
                </c:pt>
                <c:pt idx="205">
                  <c:v>39104</c:v>
                </c:pt>
                <c:pt idx="206">
                  <c:v>39105</c:v>
                </c:pt>
                <c:pt idx="207">
                  <c:v>39106</c:v>
                </c:pt>
                <c:pt idx="208">
                  <c:v>39107</c:v>
                </c:pt>
                <c:pt idx="209">
                  <c:v>39108</c:v>
                </c:pt>
                <c:pt idx="210">
                  <c:v>39109</c:v>
                </c:pt>
                <c:pt idx="211">
                  <c:v>39110</c:v>
                </c:pt>
                <c:pt idx="212">
                  <c:v>39111</c:v>
                </c:pt>
                <c:pt idx="213">
                  <c:v>39112</c:v>
                </c:pt>
                <c:pt idx="214">
                  <c:v>39113</c:v>
                </c:pt>
                <c:pt idx="215">
                  <c:v>39114</c:v>
                </c:pt>
                <c:pt idx="216">
                  <c:v>39115</c:v>
                </c:pt>
                <c:pt idx="217">
                  <c:v>39116</c:v>
                </c:pt>
                <c:pt idx="218">
                  <c:v>39117</c:v>
                </c:pt>
                <c:pt idx="219">
                  <c:v>39118</c:v>
                </c:pt>
                <c:pt idx="220">
                  <c:v>39119</c:v>
                </c:pt>
                <c:pt idx="221">
                  <c:v>39120</c:v>
                </c:pt>
                <c:pt idx="222">
                  <c:v>39121</c:v>
                </c:pt>
                <c:pt idx="223">
                  <c:v>39122</c:v>
                </c:pt>
                <c:pt idx="224">
                  <c:v>39123</c:v>
                </c:pt>
                <c:pt idx="225">
                  <c:v>39124</c:v>
                </c:pt>
                <c:pt idx="226">
                  <c:v>39125</c:v>
                </c:pt>
                <c:pt idx="227">
                  <c:v>39126</c:v>
                </c:pt>
                <c:pt idx="228">
                  <c:v>39127</c:v>
                </c:pt>
                <c:pt idx="229">
                  <c:v>39128</c:v>
                </c:pt>
                <c:pt idx="230">
                  <c:v>39129</c:v>
                </c:pt>
                <c:pt idx="231">
                  <c:v>39130</c:v>
                </c:pt>
                <c:pt idx="232">
                  <c:v>39131</c:v>
                </c:pt>
                <c:pt idx="233">
                  <c:v>39132</c:v>
                </c:pt>
                <c:pt idx="234">
                  <c:v>39133</c:v>
                </c:pt>
                <c:pt idx="235">
                  <c:v>39134</c:v>
                </c:pt>
                <c:pt idx="236">
                  <c:v>39135</c:v>
                </c:pt>
                <c:pt idx="237">
                  <c:v>39136</c:v>
                </c:pt>
                <c:pt idx="238">
                  <c:v>39137</c:v>
                </c:pt>
                <c:pt idx="239">
                  <c:v>39138</c:v>
                </c:pt>
                <c:pt idx="240">
                  <c:v>39139</c:v>
                </c:pt>
                <c:pt idx="241">
                  <c:v>39140</c:v>
                </c:pt>
                <c:pt idx="242">
                  <c:v>39141</c:v>
                </c:pt>
                <c:pt idx="243">
                  <c:v>39142</c:v>
                </c:pt>
                <c:pt idx="244">
                  <c:v>39143</c:v>
                </c:pt>
                <c:pt idx="245">
                  <c:v>39144</c:v>
                </c:pt>
                <c:pt idx="246">
                  <c:v>39145</c:v>
                </c:pt>
                <c:pt idx="247">
                  <c:v>39146</c:v>
                </c:pt>
                <c:pt idx="248">
                  <c:v>39147</c:v>
                </c:pt>
                <c:pt idx="249">
                  <c:v>39148</c:v>
                </c:pt>
                <c:pt idx="250">
                  <c:v>39149</c:v>
                </c:pt>
                <c:pt idx="251">
                  <c:v>39150</c:v>
                </c:pt>
                <c:pt idx="252">
                  <c:v>39151</c:v>
                </c:pt>
                <c:pt idx="253">
                  <c:v>39152</c:v>
                </c:pt>
                <c:pt idx="254">
                  <c:v>39153</c:v>
                </c:pt>
                <c:pt idx="255">
                  <c:v>39154</c:v>
                </c:pt>
                <c:pt idx="256">
                  <c:v>39155</c:v>
                </c:pt>
                <c:pt idx="257">
                  <c:v>39156</c:v>
                </c:pt>
                <c:pt idx="258">
                  <c:v>39157</c:v>
                </c:pt>
                <c:pt idx="259">
                  <c:v>39158</c:v>
                </c:pt>
                <c:pt idx="260">
                  <c:v>39159</c:v>
                </c:pt>
                <c:pt idx="261">
                  <c:v>39160</c:v>
                </c:pt>
                <c:pt idx="262">
                  <c:v>39161</c:v>
                </c:pt>
                <c:pt idx="263">
                  <c:v>39162</c:v>
                </c:pt>
                <c:pt idx="264">
                  <c:v>39163</c:v>
                </c:pt>
                <c:pt idx="265">
                  <c:v>39164</c:v>
                </c:pt>
                <c:pt idx="266">
                  <c:v>39165</c:v>
                </c:pt>
                <c:pt idx="267">
                  <c:v>39166</c:v>
                </c:pt>
                <c:pt idx="268">
                  <c:v>39167</c:v>
                </c:pt>
                <c:pt idx="269">
                  <c:v>39168</c:v>
                </c:pt>
                <c:pt idx="270">
                  <c:v>39169</c:v>
                </c:pt>
                <c:pt idx="271">
                  <c:v>39170</c:v>
                </c:pt>
                <c:pt idx="272">
                  <c:v>39171</c:v>
                </c:pt>
                <c:pt idx="273">
                  <c:v>39172</c:v>
                </c:pt>
                <c:pt idx="274">
                  <c:v>39173</c:v>
                </c:pt>
                <c:pt idx="275">
                  <c:v>39174</c:v>
                </c:pt>
                <c:pt idx="276">
                  <c:v>39175</c:v>
                </c:pt>
                <c:pt idx="277">
                  <c:v>39176</c:v>
                </c:pt>
                <c:pt idx="278">
                  <c:v>39177</c:v>
                </c:pt>
                <c:pt idx="279">
                  <c:v>39178</c:v>
                </c:pt>
                <c:pt idx="280">
                  <c:v>39179</c:v>
                </c:pt>
                <c:pt idx="281">
                  <c:v>39180</c:v>
                </c:pt>
                <c:pt idx="282">
                  <c:v>39181</c:v>
                </c:pt>
                <c:pt idx="283">
                  <c:v>39182</c:v>
                </c:pt>
                <c:pt idx="284">
                  <c:v>39183</c:v>
                </c:pt>
                <c:pt idx="285">
                  <c:v>39184</c:v>
                </c:pt>
                <c:pt idx="286">
                  <c:v>39185</c:v>
                </c:pt>
                <c:pt idx="287">
                  <c:v>39186</c:v>
                </c:pt>
                <c:pt idx="288">
                  <c:v>39187</c:v>
                </c:pt>
                <c:pt idx="289">
                  <c:v>39188</c:v>
                </c:pt>
                <c:pt idx="290">
                  <c:v>39189</c:v>
                </c:pt>
                <c:pt idx="291">
                  <c:v>39190</c:v>
                </c:pt>
                <c:pt idx="292">
                  <c:v>39191</c:v>
                </c:pt>
                <c:pt idx="293">
                  <c:v>39192</c:v>
                </c:pt>
                <c:pt idx="294">
                  <c:v>39193</c:v>
                </c:pt>
                <c:pt idx="295">
                  <c:v>39194</c:v>
                </c:pt>
                <c:pt idx="296">
                  <c:v>39195</c:v>
                </c:pt>
                <c:pt idx="297">
                  <c:v>39196</c:v>
                </c:pt>
                <c:pt idx="298">
                  <c:v>39197</c:v>
                </c:pt>
                <c:pt idx="299">
                  <c:v>39198</c:v>
                </c:pt>
                <c:pt idx="300">
                  <c:v>39199</c:v>
                </c:pt>
                <c:pt idx="301">
                  <c:v>39200</c:v>
                </c:pt>
                <c:pt idx="302">
                  <c:v>39201</c:v>
                </c:pt>
                <c:pt idx="303">
                  <c:v>39202</c:v>
                </c:pt>
                <c:pt idx="304">
                  <c:v>39203</c:v>
                </c:pt>
                <c:pt idx="305">
                  <c:v>39204</c:v>
                </c:pt>
                <c:pt idx="306">
                  <c:v>39205</c:v>
                </c:pt>
                <c:pt idx="307">
                  <c:v>39206</c:v>
                </c:pt>
                <c:pt idx="308">
                  <c:v>39207</c:v>
                </c:pt>
                <c:pt idx="309">
                  <c:v>39208</c:v>
                </c:pt>
                <c:pt idx="310">
                  <c:v>39209</c:v>
                </c:pt>
                <c:pt idx="311">
                  <c:v>39210</c:v>
                </c:pt>
                <c:pt idx="312">
                  <c:v>39211</c:v>
                </c:pt>
                <c:pt idx="313">
                  <c:v>39212</c:v>
                </c:pt>
                <c:pt idx="314">
                  <c:v>39213</c:v>
                </c:pt>
                <c:pt idx="315">
                  <c:v>39214</c:v>
                </c:pt>
                <c:pt idx="316">
                  <c:v>39215</c:v>
                </c:pt>
                <c:pt idx="317">
                  <c:v>39216</c:v>
                </c:pt>
                <c:pt idx="318">
                  <c:v>39217</c:v>
                </c:pt>
                <c:pt idx="319">
                  <c:v>39218</c:v>
                </c:pt>
                <c:pt idx="320">
                  <c:v>39219</c:v>
                </c:pt>
                <c:pt idx="321">
                  <c:v>39220</c:v>
                </c:pt>
                <c:pt idx="322">
                  <c:v>39221</c:v>
                </c:pt>
                <c:pt idx="323">
                  <c:v>39222</c:v>
                </c:pt>
                <c:pt idx="324">
                  <c:v>39223</c:v>
                </c:pt>
                <c:pt idx="325">
                  <c:v>39224</c:v>
                </c:pt>
                <c:pt idx="326">
                  <c:v>39225</c:v>
                </c:pt>
                <c:pt idx="327">
                  <c:v>39226</c:v>
                </c:pt>
                <c:pt idx="328">
                  <c:v>39227</c:v>
                </c:pt>
                <c:pt idx="329">
                  <c:v>39228</c:v>
                </c:pt>
                <c:pt idx="330">
                  <c:v>39229</c:v>
                </c:pt>
                <c:pt idx="331">
                  <c:v>39230</c:v>
                </c:pt>
                <c:pt idx="332">
                  <c:v>39231</c:v>
                </c:pt>
                <c:pt idx="333">
                  <c:v>39232</c:v>
                </c:pt>
                <c:pt idx="334">
                  <c:v>39233</c:v>
                </c:pt>
                <c:pt idx="335">
                  <c:v>39234</c:v>
                </c:pt>
                <c:pt idx="336">
                  <c:v>39235</c:v>
                </c:pt>
                <c:pt idx="337">
                  <c:v>39236</c:v>
                </c:pt>
                <c:pt idx="338">
                  <c:v>39237</c:v>
                </c:pt>
                <c:pt idx="339">
                  <c:v>39238</c:v>
                </c:pt>
                <c:pt idx="340">
                  <c:v>39239</c:v>
                </c:pt>
                <c:pt idx="341">
                  <c:v>39240</c:v>
                </c:pt>
                <c:pt idx="342">
                  <c:v>39241</c:v>
                </c:pt>
                <c:pt idx="343">
                  <c:v>39242</c:v>
                </c:pt>
                <c:pt idx="344">
                  <c:v>39243</c:v>
                </c:pt>
                <c:pt idx="345">
                  <c:v>39244</c:v>
                </c:pt>
                <c:pt idx="346">
                  <c:v>39245</c:v>
                </c:pt>
                <c:pt idx="347">
                  <c:v>39246</c:v>
                </c:pt>
                <c:pt idx="348">
                  <c:v>39247</c:v>
                </c:pt>
                <c:pt idx="349">
                  <c:v>39248</c:v>
                </c:pt>
                <c:pt idx="350">
                  <c:v>39249</c:v>
                </c:pt>
                <c:pt idx="351">
                  <c:v>39250</c:v>
                </c:pt>
                <c:pt idx="352">
                  <c:v>39251</c:v>
                </c:pt>
                <c:pt idx="353">
                  <c:v>39252</c:v>
                </c:pt>
                <c:pt idx="354">
                  <c:v>39253</c:v>
                </c:pt>
                <c:pt idx="355">
                  <c:v>39254</c:v>
                </c:pt>
                <c:pt idx="356">
                  <c:v>39255</c:v>
                </c:pt>
                <c:pt idx="357">
                  <c:v>39256</c:v>
                </c:pt>
                <c:pt idx="358">
                  <c:v>39257</c:v>
                </c:pt>
                <c:pt idx="359">
                  <c:v>39258</c:v>
                </c:pt>
                <c:pt idx="360">
                  <c:v>39259</c:v>
                </c:pt>
                <c:pt idx="361">
                  <c:v>39260</c:v>
                </c:pt>
                <c:pt idx="362">
                  <c:v>39261</c:v>
                </c:pt>
                <c:pt idx="363">
                  <c:v>39262</c:v>
                </c:pt>
                <c:pt idx="364">
                  <c:v>39263</c:v>
                </c:pt>
              </c:numCache>
            </c:numRef>
          </c:xVal>
          <c:yVal>
            <c:numRef>
              <c:f>raw!$B$1:$B$365</c:f>
              <c:numCache>
                <c:formatCode>General</c:formatCode>
                <c:ptCount val="365"/>
                <c:pt idx="0">
                  <c:v>131.98125870000001</c:v>
                </c:pt>
                <c:pt idx="1">
                  <c:v>109.438199</c:v>
                </c:pt>
                <c:pt idx="2">
                  <c:v>136.26261679999999</c:v>
                </c:pt>
                <c:pt idx="3">
                  <c:v>135.40008090000001</c:v>
                </c:pt>
                <c:pt idx="4">
                  <c:v>114.06597480000001</c:v>
                </c:pt>
                <c:pt idx="5">
                  <c:v>135.40008090000001</c:v>
                </c:pt>
                <c:pt idx="6">
                  <c:v>136.26261679999999</c:v>
                </c:pt>
                <c:pt idx="7">
                  <c:v>197.04571530000001</c:v>
                </c:pt>
                <c:pt idx="8">
                  <c:v>204.5982927</c:v>
                </c:pt>
                <c:pt idx="9">
                  <c:v>299.98732050000001</c:v>
                </c:pt>
                <c:pt idx="10">
                  <c:v>253.36960060000001</c:v>
                </c:pt>
                <c:pt idx="11">
                  <c:v>252.1387082</c:v>
                </c:pt>
                <c:pt idx="12">
                  <c:v>319.34212239999999</c:v>
                </c:pt>
                <c:pt idx="13">
                  <c:v>363.16845919999997</c:v>
                </c:pt>
                <c:pt idx="14">
                  <c:v>346.72385409999998</c:v>
                </c:pt>
                <c:pt idx="15">
                  <c:v>340.8519728</c:v>
                </c:pt>
                <c:pt idx="16">
                  <c:v>366.20533929999999</c:v>
                </c:pt>
                <c:pt idx="17">
                  <c:v>293.24238070000001</c:v>
                </c:pt>
                <c:pt idx="18">
                  <c:v>238.82483149999999</c:v>
                </c:pt>
                <c:pt idx="19">
                  <c:v>265.8677864</c:v>
                </c:pt>
                <c:pt idx="20">
                  <c:v>264.60244649999999</c:v>
                </c:pt>
                <c:pt idx="21">
                  <c:v>304.07649609999999</c:v>
                </c:pt>
                <c:pt idx="22">
                  <c:v>293.24238070000001</c:v>
                </c:pt>
                <c:pt idx="23">
                  <c:v>267.13658420000002</c:v>
                </c:pt>
                <c:pt idx="24">
                  <c:v>323.57992460000003</c:v>
                </c:pt>
                <c:pt idx="25">
                  <c:v>433.35379560000001</c:v>
                </c:pt>
                <c:pt idx="26">
                  <c:v>332.15165910000002</c:v>
                </c:pt>
                <c:pt idx="27">
                  <c:v>446.88166699999999</c:v>
                </c:pt>
                <c:pt idx="28">
                  <c:v>415.14069619999998</c:v>
                </c:pt>
                <c:pt idx="29">
                  <c:v>426.67902359999999</c:v>
                </c:pt>
                <c:pt idx="30">
                  <c:v>640.63574340000002</c:v>
                </c:pt>
                <c:pt idx="31">
                  <c:v>709.74973050000006</c:v>
                </c:pt>
                <c:pt idx="32">
                  <c:v>687.7157168</c:v>
                </c:pt>
                <c:pt idx="33">
                  <c:v>801.89203880000002</c:v>
                </c:pt>
                <c:pt idx="34">
                  <c:v>828.36510109999995</c:v>
                </c:pt>
                <c:pt idx="35">
                  <c:v>527.4528206</c:v>
                </c:pt>
                <c:pt idx="36">
                  <c:v>455.45771159999998</c:v>
                </c:pt>
                <c:pt idx="37">
                  <c:v>542.58117830000003</c:v>
                </c:pt>
                <c:pt idx="38">
                  <c:v>679.01337460000002</c:v>
                </c:pt>
                <c:pt idx="39">
                  <c:v>666.07870549999996</c:v>
                </c:pt>
                <c:pt idx="40">
                  <c:v>825.93809969999995</c:v>
                </c:pt>
                <c:pt idx="41">
                  <c:v>768.90917620000005</c:v>
                </c:pt>
                <c:pt idx="42">
                  <c:v>757.32149389999995</c:v>
                </c:pt>
                <c:pt idx="43">
                  <c:v>867.75302339999996</c:v>
                </c:pt>
                <c:pt idx="44">
                  <c:v>852.85973730000001</c:v>
                </c:pt>
                <c:pt idx="45">
                  <c:v>761.94447630000002</c:v>
                </c:pt>
                <c:pt idx="46">
                  <c:v>838.1139124</c:v>
                </c:pt>
                <c:pt idx="47">
                  <c:v>835.6705852</c:v>
                </c:pt>
                <c:pt idx="48">
                  <c:v>782.94756719999998</c:v>
                </c:pt>
                <c:pt idx="49">
                  <c:v>651.16802940000002</c:v>
                </c:pt>
                <c:pt idx="50">
                  <c:v>711.97503740000002</c:v>
                </c:pt>
                <c:pt idx="51">
                  <c:v>683.35661300000004</c:v>
                </c:pt>
                <c:pt idx="52">
                  <c:v>508.88604529999998</c:v>
                </c:pt>
                <c:pt idx="53">
                  <c:v>514.41608670000005</c:v>
                </c:pt>
                <c:pt idx="54">
                  <c:v>785.30144819999998</c:v>
                </c:pt>
                <c:pt idx="55">
                  <c:v>954.95151569999996</c:v>
                </c:pt>
                <c:pt idx="56">
                  <c:v>872.75028550000002</c:v>
                </c:pt>
                <c:pt idx="57">
                  <c:v>794.75746300000003</c:v>
                </c:pt>
                <c:pt idx="58">
                  <c:v>745.83446270000002</c:v>
                </c:pt>
                <c:pt idx="59">
                  <c:v>663.93676879999998</c:v>
                </c:pt>
                <c:pt idx="60">
                  <c:v>531.21195120000004</c:v>
                </c:pt>
                <c:pt idx="61">
                  <c:v>474.65442990000003</c:v>
                </c:pt>
                <c:pt idx="62">
                  <c:v>494.30632450000002</c:v>
                </c:pt>
                <c:pt idx="63">
                  <c:v>518.12180790000002</c:v>
                </c:pt>
                <c:pt idx="64">
                  <c:v>478.19356629999999</c:v>
                </c:pt>
                <c:pt idx="65">
                  <c:v>544.48946269999999</c:v>
                </c:pt>
                <c:pt idx="66">
                  <c:v>589.44311649999997</c:v>
                </c:pt>
                <c:pt idx="67">
                  <c:v>599.4865873</c:v>
                </c:pt>
                <c:pt idx="68">
                  <c:v>599.4865873</c:v>
                </c:pt>
                <c:pt idx="69">
                  <c:v>601.50694869999995</c:v>
                </c:pt>
                <c:pt idx="70">
                  <c:v>623.98831399999995</c:v>
                </c:pt>
                <c:pt idx="71">
                  <c:v>583.4636342</c:v>
                </c:pt>
                <c:pt idx="72">
                  <c:v>488.90142120000002</c:v>
                </c:pt>
                <c:pt idx="73">
                  <c:v>516.26704329999995</c:v>
                </c:pt>
                <c:pt idx="74">
                  <c:v>531.21195120000004</c:v>
                </c:pt>
                <c:pt idx="75">
                  <c:v>487.10734550000001</c:v>
                </c:pt>
                <c:pt idx="76">
                  <c:v>483.53052000000002</c:v>
                </c:pt>
                <c:pt idx="77">
                  <c:v>481.74776609999998</c:v>
                </c:pt>
                <c:pt idx="78">
                  <c:v>467.62128250000001</c:v>
                </c:pt>
                <c:pt idx="79">
                  <c:v>455.45771159999998</c:v>
                </c:pt>
                <c:pt idx="80">
                  <c:v>460.64819360000001</c:v>
                </c:pt>
                <c:pt idx="81">
                  <c:v>453.7350323</c:v>
                </c:pt>
                <c:pt idx="82">
                  <c:v>410.25108030000001</c:v>
                </c:pt>
                <c:pt idx="83">
                  <c:v>402.17535099999998</c:v>
                </c:pt>
                <c:pt idx="84">
                  <c:v>358.64027060000001</c:v>
                </c:pt>
                <c:pt idx="85">
                  <c:v>335.03745309999999</c:v>
                </c:pt>
                <c:pt idx="86">
                  <c:v>346.72385409999998</c:v>
                </c:pt>
                <c:pt idx="87">
                  <c:v>375.40299349999998</c:v>
                </c:pt>
                <c:pt idx="88">
                  <c:v>375.40299349999998</c:v>
                </c:pt>
                <c:pt idx="89">
                  <c:v>330.71412070000002</c:v>
                </c:pt>
                <c:pt idx="90">
                  <c:v>339.3929708</c:v>
                </c:pt>
                <c:pt idx="91">
                  <c:v>322.16376880000001</c:v>
                </c:pt>
                <c:pt idx="92">
                  <c:v>313.74142710000001</c:v>
                </c:pt>
                <c:pt idx="93">
                  <c:v>306.82023980000002</c:v>
                </c:pt>
                <c:pt idx="94">
                  <c:v>322.16376880000001</c:v>
                </c:pt>
                <c:pt idx="95">
                  <c:v>289.23752639999998</c:v>
                </c:pt>
                <c:pt idx="96">
                  <c:v>282.63274949999999</c:v>
                </c:pt>
                <c:pt idx="97">
                  <c:v>259.57561889999999</c:v>
                </c:pt>
                <c:pt idx="98">
                  <c:v>240.01811219999999</c:v>
                </c:pt>
                <c:pt idx="99">
                  <c:v>224.77030569999999</c:v>
                </c:pt>
                <c:pt idx="100">
                  <c:v>215.67085800000001</c:v>
                </c:pt>
                <c:pt idx="101">
                  <c:v>216.79652179999999</c:v>
                </c:pt>
                <c:pt idx="102">
                  <c:v>216.79652179999999</c:v>
                </c:pt>
                <c:pt idx="103">
                  <c:v>238.82483149999999</c:v>
                </c:pt>
                <c:pt idx="104">
                  <c:v>227.07886360000001</c:v>
                </c:pt>
                <c:pt idx="105">
                  <c:v>194.91767129999999</c:v>
                </c:pt>
                <c:pt idx="106">
                  <c:v>184.47536049999999</c:v>
                </c:pt>
                <c:pt idx="107">
                  <c:v>187.5735024</c:v>
                </c:pt>
                <c:pt idx="108">
                  <c:v>189.6553614</c:v>
                </c:pt>
                <c:pt idx="109">
                  <c:v>174.3609605</c:v>
                </c:pt>
                <c:pt idx="110">
                  <c:v>175.35772040000001</c:v>
                </c:pt>
                <c:pt idx="111">
                  <c:v>165.5361537</c:v>
                </c:pt>
                <c:pt idx="112">
                  <c:v>165.5361537</c:v>
                </c:pt>
                <c:pt idx="113">
                  <c:v>158.8532802</c:v>
                </c:pt>
                <c:pt idx="114">
                  <c:v>150.49190340000001</c:v>
                </c:pt>
                <c:pt idx="115">
                  <c:v>145.0610375</c:v>
                </c:pt>
                <c:pt idx="116">
                  <c:v>145.95824880000001</c:v>
                </c:pt>
                <c:pt idx="117">
                  <c:v>140.62242309999999</c:v>
                </c:pt>
                <c:pt idx="118">
                  <c:v>147.76218249999999</c:v>
                </c:pt>
                <c:pt idx="119">
                  <c:v>143.27611189999999</c:v>
                </c:pt>
                <c:pt idx="120">
                  <c:v>182.42633259999999</c:v>
                </c:pt>
                <c:pt idx="121">
                  <c:v>223.62108989999999</c:v>
                </c:pt>
                <c:pt idx="122">
                  <c:v>240.01811219999999</c:v>
                </c:pt>
                <c:pt idx="123">
                  <c:v>247.24942909999999</c:v>
                </c:pt>
                <c:pt idx="124">
                  <c:v>225.9228961</c:v>
                </c:pt>
                <c:pt idx="125">
                  <c:v>184.47536049999999</c:v>
                </c:pt>
                <c:pt idx="126">
                  <c:v>160.74658790000001</c:v>
                </c:pt>
                <c:pt idx="127">
                  <c:v>148.6689106</c:v>
                </c:pt>
                <c:pt idx="128">
                  <c:v>138.3455113</c:v>
                </c:pt>
                <c:pt idx="129">
                  <c:v>130.2905997</c:v>
                </c:pt>
                <c:pt idx="130">
                  <c:v>122.8366146</c:v>
                </c:pt>
                <c:pt idx="131">
                  <c:v>117.2122761</c:v>
                </c:pt>
                <c:pt idx="132">
                  <c:v>112.5111837</c:v>
                </c:pt>
                <c:pt idx="133">
                  <c:v>109.438199</c:v>
                </c:pt>
                <c:pt idx="134">
                  <c:v>112.5111837</c:v>
                </c:pt>
                <c:pt idx="135">
                  <c:v>112.5111837</c:v>
                </c:pt>
                <c:pt idx="136">
                  <c:v>111.7383675</c:v>
                </c:pt>
                <c:pt idx="137">
                  <c:v>111.7383675</c:v>
                </c:pt>
                <c:pt idx="138">
                  <c:v>106.413847</c:v>
                </c:pt>
                <c:pt idx="139">
                  <c:v>99.064435200000005</c:v>
                </c:pt>
                <c:pt idx="140">
                  <c:v>94.098288409999995</c:v>
                </c:pt>
                <c:pt idx="141">
                  <c:v>90.640311969999999</c:v>
                </c:pt>
                <c:pt idx="142">
                  <c:v>83.945759760000001</c:v>
                </c:pt>
                <c:pt idx="143">
                  <c:v>85.261167369999995</c:v>
                </c:pt>
                <c:pt idx="144">
                  <c:v>82.642050830000002</c:v>
                </c:pt>
                <c:pt idx="145">
                  <c:v>82.642050830000002</c:v>
                </c:pt>
                <c:pt idx="146">
                  <c:v>82.642050830000002</c:v>
                </c:pt>
                <c:pt idx="147">
                  <c:v>83.292444619999998</c:v>
                </c:pt>
                <c:pt idx="148">
                  <c:v>81.350013989999994</c:v>
                </c:pt>
                <c:pt idx="149">
                  <c:v>78.800849700000001</c:v>
                </c:pt>
                <c:pt idx="150">
                  <c:v>76.298051909999998</c:v>
                </c:pt>
                <c:pt idx="151">
                  <c:v>73.234426880000001</c:v>
                </c:pt>
                <c:pt idx="152">
                  <c:v>71.430686069999993</c:v>
                </c:pt>
                <c:pt idx="153">
                  <c:v>24.422632329999999</c:v>
                </c:pt>
                <c:pt idx="154">
                  <c:v>67.900245589999997</c:v>
                </c:pt>
                <c:pt idx="155">
                  <c:v>65.603383120000004</c:v>
                </c:pt>
                <c:pt idx="156">
                  <c:v>65.036230750000001</c:v>
                </c:pt>
                <c:pt idx="157">
                  <c:v>66.173357240000001</c:v>
                </c:pt>
                <c:pt idx="158">
                  <c:v>72.630317309999995</c:v>
                </c:pt>
                <c:pt idx="159">
                  <c:v>76.298051909999998</c:v>
                </c:pt>
                <c:pt idx="160">
                  <c:v>76.298051909999998</c:v>
                </c:pt>
                <c:pt idx="161">
                  <c:v>71.430686069999993</c:v>
                </c:pt>
                <c:pt idx="162">
                  <c:v>73.234426880000001</c:v>
                </c:pt>
                <c:pt idx="163">
                  <c:v>73.234426880000001</c:v>
                </c:pt>
                <c:pt idx="164">
                  <c:v>70.242482269999996</c:v>
                </c:pt>
                <c:pt idx="165">
                  <c:v>64.471896580000006</c:v>
                </c:pt>
                <c:pt idx="166">
                  <c:v>61.692373539999998</c:v>
                </c:pt>
                <c:pt idx="167">
                  <c:v>54.28020763</c:v>
                </c:pt>
                <c:pt idx="168">
                  <c:v>57.39037338</c:v>
                </c:pt>
                <c:pt idx="169">
                  <c:v>55.305909210000003</c:v>
                </c:pt>
                <c:pt idx="170">
                  <c:v>56.342621200000004</c:v>
                </c:pt>
                <c:pt idx="171">
                  <c:v>54.791683980000002</c:v>
                </c:pt>
                <c:pt idx="172">
                  <c:v>53.265486590000002</c:v>
                </c:pt>
                <c:pt idx="173">
                  <c:v>52.261715989999999</c:v>
                </c:pt>
                <c:pt idx="174">
                  <c:v>50.776526029999999</c:v>
                </c:pt>
                <c:pt idx="175">
                  <c:v>49.799998960000003</c:v>
                </c:pt>
                <c:pt idx="176">
                  <c:v>49.315803819999999</c:v>
                </c:pt>
                <c:pt idx="177">
                  <c:v>48.834315830000001</c:v>
                </c:pt>
                <c:pt idx="178">
                  <c:v>46.467347599999997</c:v>
                </c:pt>
                <c:pt idx="179">
                  <c:v>45.07940387</c:v>
                </c:pt>
                <c:pt idx="180">
                  <c:v>45.07940387</c:v>
                </c:pt>
                <c:pt idx="181">
                  <c:v>49.315803819999999</c:v>
                </c:pt>
                <c:pt idx="182">
                  <c:v>46.00202109</c:v>
                </c:pt>
                <c:pt idx="183">
                  <c:v>43.266202210000003</c:v>
                </c:pt>
                <c:pt idx="184">
                  <c:v>41.934204389999998</c:v>
                </c:pt>
                <c:pt idx="185">
                  <c:v>42.819552129999998</c:v>
                </c:pt>
                <c:pt idx="186">
                  <c:v>45.07940387</c:v>
                </c:pt>
                <c:pt idx="187">
                  <c:v>46.00202109</c:v>
                </c:pt>
                <c:pt idx="188">
                  <c:v>46.00202109</c:v>
                </c:pt>
                <c:pt idx="189">
                  <c:v>45.07940387</c:v>
                </c:pt>
                <c:pt idx="190">
                  <c:v>44.622105300000001</c:v>
                </c:pt>
                <c:pt idx="191">
                  <c:v>44.622105300000001</c:v>
                </c:pt>
                <c:pt idx="192">
                  <c:v>43.715508440000001</c:v>
                </c:pt>
                <c:pt idx="193">
                  <c:v>43.266202210000003</c:v>
                </c:pt>
                <c:pt idx="194">
                  <c:v>41.934204389999998</c:v>
                </c:pt>
                <c:pt idx="195">
                  <c:v>41.495498689999998</c:v>
                </c:pt>
                <c:pt idx="196">
                  <c:v>41.059433069999997</c:v>
                </c:pt>
                <c:pt idx="197">
                  <c:v>40.62600346</c:v>
                </c:pt>
                <c:pt idx="198">
                  <c:v>40.195205819999998</c:v>
                </c:pt>
                <c:pt idx="199">
                  <c:v>39.767036060000002</c:v>
                </c:pt>
                <c:pt idx="200">
                  <c:v>39.767036060000002</c:v>
                </c:pt>
                <c:pt idx="201">
                  <c:v>38.080553979999998</c:v>
                </c:pt>
                <c:pt idx="202">
                  <c:v>34.438090500000001</c:v>
                </c:pt>
                <c:pt idx="203">
                  <c:v>34.046276339999999</c:v>
                </c:pt>
                <c:pt idx="204">
                  <c:v>34.046276339999999</c:v>
                </c:pt>
                <c:pt idx="205">
                  <c:v>33.65702744</c:v>
                </c:pt>
                <c:pt idx="206">
                  <c:v>32.886208240000002</c:v>
                </c:pt>
                <c:pt idx="207">
                  <c:v>34.046276339999999</c:v>
                </c:pt>
                <c:pt idx="208">
                  <c:v>32.886208240000002</c:v>
                </c:pt>
                <c:pt idx="209">
                  <c:v>32.886208240000002</c:v>
                </c:pt>
                <c:pt idx="210">
                  <c:v>32.12559847</c:v>
                </c:pt>
                <c:pt idx="211">
                  <c:v>32.12559847</c:v>
                </c:pt>
                <c:pt idx="212">
                  <c:v>31.003750629999999</c:v>
                </c:pt>
                <c:pt idx="213">
                  <c:v>31.003750629999999</c:v>
                </c:pt>
                <c:pt idx="214">
                  <c:v>30.268512319999999</c:v>
                </c:pt>
                <c:pt idx="215">
                  <c:v>29.904678050000001</c:v>
                </c:pt>
                <c:pt idx="216">
                  <c:v>29.543361130000001</c:v>
                </c:pt>
                <c:pt idx="217">
                  <c:v>29.184557130000002</c:v>
                </c:pt>
                <c:pt idx="218">
                  <c:v>28.47447004</c:v>
                </c:pt>
                <c:pt idx="219">
                  <c:v>28.123177980000001</c:v>
                </c:pt>
                <c:pt idx="220">
                  <c:v>27.42807432</c:v>
                </c:pt>
                <c:pt idx="221">
                  <c:v>27.084253660000002</c:v>
                </c:pt>
                <c:pt idx="222">
                  <c:v>26.742914379999998</c:v>
                </c:pt>
                <c:pt idx="223">
                  <c:v>26.742914379999998</c:v>
                </c:pt>
                <c:pt idx="224">
                  <c:v>27.084253660000002</c:v>
                </c:pt>
                <c:pt idx="225">
                  <c:v>26.742914379999998</c:v>
                </c:pt>
                <c:pt idx="226">
                  <c:v>26.742914379999998</c:v>
                </c:pt>
                <c:pt idx="227">
                  <c:v>27.42807432</c:v>
                </c:pt>
                <c:pt idx="228">
                  <c:v>26.404051920000001</c:v>
                </c:pt>
                <c:pt idx="229">
                  <c:v>25.733739079999999</c:v>
                </c:pt>
                <c:pt idx="230">
                  <c:v>25.402279490000002</c:v>
                </c:pt>
                <c:pt idx="231">
                  <c:v>25.402279490000002</c:v>
                </c:pt>
                <c:pt idx="232">
                  <c:v>24.746730769999999</c:v>
                </c:pt>
                <c:pt idx="233">
                  <c:v>24.422632329999999</c:v>
                </c:pt>
                <c:pt idx="234">
                  <c:v>25.073278269999999</c:v>
                </c:pt>
                <c:pt idx="235">
                  <c:v>32.50462933</c:v>
                </c:pt>
                <c:pt idx="236">
                  <c:v>35.22943162</c:v>
                </c:pt>
                <c:pt idx="237">
                  <c:v>37.66546211</c:v>
                </c:pt>
                <c:pt idx="238">
                  <c:v>38.498253179999999</c:v>
                </c:pt>
                <c:pt idx="239">
                  <c:v>36.843083759999999</c:v>
                </c:pt>
                <c:pt idx="240">
                  <c:v>35.22943162</c:v>
                </c:pt>
                <c:pt idx="241">
                  <c:v>32.886208240000002</c:v>
                </c:pt>
                <c:pt idx="242">
                  <c:v>32.12559847</c:v>
                </c:pt>
                <c:pt idx="243">
                  <c:v>31.37516347</c:v>
                </c:pt>
                <c:pt idx="244">
                  <c:v>30.63486837</c:v>
                </c:pt>
                <c:pt idx="245">
                  <c:v>29.904678050000001</c:v>
                </c:pt>
                <c:pt idx="246">
                  <c:v>29.184557130000002</c:v>
                </c:pt>
                <c:pt idx="247">
                  <c:v>28.82826159</c:v>
                </c:pt>
                <c:pt idx="248">
                  <c:v>27.774380910000001</c:v>
                </c:pt>
                <c:pt idx="249">
                  <c:v>27.774380910000001</c:v>
                </c:pt>
                <c:pt idx="250">
                  <c:v>27.42807432</c:v>
                </c:pt>
                <c:pt idx="251">
                  <c:v>27.084253660000002</c:v>
                </c:pt>
                <c:pt idx="252">
                  <c:v>26.742914379999998</c:v>
                </c:pt>
                <c:pt idx="253">
                  <c:v>26.067661690000001</c:v>
                </c:pt>
                <c:pt idx="254">
                  <c:v>25.733739079999999</c:v>
                </c:pt>
                <c:pt idx="255">
                  <c:v>26.067661690000001</c:v>
                </c:pt>
                <c:pt idx="256">
                  <c:v>25.733739079999999</c:v>
                </c:pt>
                <c:pt idx="257">
                  <c:v>25.402279490000002</c:v>
                </c:pt>
                <c:pt idx="258">
                  <c:v>24.746730769999999</c:v>
                </c:pt>
                <c:pt idx="259">
                  <c:v>24.746730769999999</c:v>
                </c:pt>
                <c:pt idx="260">
                  <c:v>24.422632329999999</c:v>
                </c:pt>
                <c:pt idx="261">
                  <c:v>24.422632329999999</c:v>
                </c:pt>
                <c:pt idx="262">
                  <c:v>24.100978250000001</c:v>
                </c:pt>
                <c:pt idx="263">
                  <c:v>24.100978250000001</c:v>
                </c:pt>
                <c:pt idx="264">
                  <c:v>23.781763829999999</c:v>
                </c:pt>
                <c:pt idx="265">
                  <c:v>24.100978250000001</c:v>
                </c:pt>
                <c:pt idx="266">
                  <c:v>24.100978250000001</c:v>
                </c:pt>
                <c:pt idx="267">
                  <c:v>24.422632329999999</c:v>
                </c:pt>
                <c:pt idx="268">
                  <c:v>24.100978250000001</c:v>
                </c:pt>
                <c:pt idx="269">
                  <c:v>24.100978250000001</c:v>
                </c:pt>
                <c:pt idx="270">
                  <c:v>24.746730769999999</c:v>
                </c:pt>
                <c:pt idx="271">
                  <c:v>25.073278269999999</c:v>
                </c:pt>
                <c:pt idx="272">
                  <c:v>24.746730769999999</c:v>
                </c:pt>
                <c:pt idx="273">
                  <c:v>25.402279490000002</c:v>
                </c:pt>
                <c:pt idx="274">
                  <c:v>27.084253660000002</c:v>
                </c:pt>
                <c:pt idx="275">
                  <c:v>28.123177980000001</c:v>
                </c:pt>
                <c:pt idx="276">
                  <c:v>27.42807432</c:v>
                </c:pt>
                <c:pt idx="277">
                  <c:v>26.742914379999998</c:v>
                </c:pt>
                <c:pt idx="278">
                  <c:v>26.067661690000001</c:v>
                </c:pt>
                <c:pt idx="279">
                  <c:v>26.067661690000001</c:v>
                </c:pt>
                <c:pt idx="280">
                  <c:v>25.402279490000002</c:v>
                </c:pt>
                <c:pt idx="281">
                  <c:v>25.073278269999999</c:v>
                </c:pt>
                <c:pt idx="282">
                  <c:v>26.067661690000001</c:v>
                </c:pt>
                <c:pt idx="283">
                  <c:v>28.82826159</c:v>
                </c:pt>
                <c:pt idx="284">
                  <c:v>26.067661690000001</c:v>
                </c:pt>
                <c:pt idx="285">
                  <c:v>26.067661690000001</c:v>
                </c:pt>
                <c:pt idx="286">
                  <c:v>27.42807432</c:v>
                </c:pt>
                <c:pt idx="287">
                  <c:v>27.42807432</c:v>
                </c:pt>
                <c:pt idx="288">
                  <c:v>27.774380910000001</c:v>
                </c:pt>
                <c:pt idx="289">
                  <c:v>26.742914379999998</c:v>
                </c:pt>
                <c:pt idx="290">
                  <c:v>27.42807432</c:v>
                </c:pt>
                <c:pt idx="291">
                  <c:v>26.404051920000001</c:v>
                </c:pt>
                <c:pt idx="292">
                  <c:v>24.746730769999999</c:v>
                </c:pt>
                <c:pt idx="293">
                  <c:v>24.746730769999999</c:v>
                </c:pt>
                <c:pt idx="294">
                  <c:v>24.100978250000001</c:v>
                </c:pt>
                <c:pt idx="295">
                  <c:v>23.781763829999999</c:v>
                </c:pt>
                <c:pt idx="296">
                  <c:v>23.781763829999999</c:v>
                </c:pt>
                <c:pt idx="297">
                  <c:v>23.150635080000001</c:v>
                </c:pt>
                <c:pt idx="298">
                  <c:v>22.529208090000001</c:v>
                </c:pt>
                <c:pt idx="299">
                  <c:v>21.315305939999998</c:v>
                </c:pt>
                <c:pt idx="300">
                  <c:v>21.017833830000001</c:v>
                </c:pt>
                <c:pt idx="301">
                  <c:v>21.017833830000001</c:v>
                </c:pt>
                <c:pt idx="302">
                  <c:v>21.615174570000001</c:v>
                </c:pt>
                <c:pt idx="303">
                  <c:v>22.222120799999999</c:v>
                </c:pt>
                <c:pt idx="304">
                  <c:v>26.404051920000001</c:v>
                </c:pt>
                <c:pt idx="305">
                  <c:v>32.886208240000002</c:v>
                </c:pt>
                <c:pt idx="306">
                  <c:v>29.184557130000002</c:v>
                </c:pt>
                <c:pt idx="307">
                  <c:v>28.47447004</c:v>
                </c:pt>
                <c:pt idx="308">
                  <c:v>28.123177980000001</c:v>
                </c:pt>
                <c:pt idx="309">
                  <c:v>25.733739079999999</c:v>
                </c:pt>
                <c:pt idx="310">
                  <c:v>25.402279490000002</c:v>
                </c:pt>
                <c:pt idx="311">
                  <c:v>25.073278269999999</c:v>
                </c:pt>
                <c:pt idx="312">
                  <c:v>22.838711249999999</c:v>
                </c:pt>
                <c:pt idx="313">
                  <c:v>23.464984359999999</c:v>
                </c:pt>
                <c:pt idx="314">
                  <c:v>28.47447004</c:v>
                </c:pt>
                <c:pt idx="315">
                  <c:v>28.47447004</c:v>
                </c:pt>
                <c:pt idx="316">
                  <c:v>28.123177980000001</c:v>
                </c:pt>
                <c:pt idx="317">
                  <c:v>28.47447004</c:v>
                </c:pt>
                <c:pt idx="318">
                  <c:v>26.067661690000001</c:v>
                </c:pt>
                <c:pt idx="319">
                  <c:v>27.42807432</c:v>
                </c:pt>
                <c:pt idx="320">
                  <c:v>28.123177980000001</c:v>
                </c:pt>
                <c:pt idx="321">
                  <c:v>32.12559847</c:v>
                </c:pt>
                <c:pt idx="322">
                  <c:v>33.270339499999999</c:v>
                </c:pt>
                <c:pt idx="323">
                  <c:v>43.715508440000001</c:v>
                </c:pt>
                <c:pt idx="324">
                  <c:v>56.865115420000002</c:v>
                </c:pt>
                <c:pt idx="325">
                  <c:v>51.26886562</c:v>
                </c:pt>
                <c:pt idx="326">
                  <c:v>45.07940387</c:v>
                </c:pt>
                <c:pt idx="327">
                  <c:v>41.934204389999998</c:v>
                </c:pt>
                <c:pt idx="328">
                  <c:v>41.495498689999998</c:v>
                </c:pt>
                <c:pt idx="329">
                  <c:v>38.498253179999999</c:v>
                </c:pt>
                <c:pt idx="330">
                  <c:v>36.03108478</c:v>
                </c:pt>
                <c:pt idx="331">
                  <c:v>49.315803819999999</c:v>
                </c:pt>
                <c:pt idx="332">
                  <c:v>62.242670400000002</c:v>
                </c:pt>
                <c:pt idx="333">
                  <c:v>62.79576754</c:v>
                </c:pt>
                <c:pt idx="334">
                  <c:v>61.692373539999998</c:v>
                </c:pt>
                <c:pt idx="335">
                  <c:v>73.234426880000001</c:v>
                </c:pt>
                <c:pt idx="336">
                  <c:v>91.325979399999994</c:v>
                </c:pt>
                <c:pt idx="337">
                  <c:v>88.601041429999995</c:v>
                </c:pt>
                <c:pt idx="338">
                  <c:v>81.994575060000003</c:v>
                </c:pt>
                <c:pt idx="339">
                  <c:v>115.6329975</c:v>
                </c:pt>
                <c:pt idx="340">
                  <c:v>101.2376587</c:v>
                </c:pt>
                <c:pt idx="341">
                  <c:v>143.27611189999999</c:v>
                </c:pt>
                <c:pt idx="342">
                  <c:v>129.4499481</c:v>
                </c:pt>
                <c:pt idx="343">
                  <c:v>120.40769760000001</c:v>
                </c:pt>
                <c:pt idx="344">
                  <c:v>101.2376587</c:v>
                </c:pt>
                <c:pt idx="345">
                  <c:v>85.92326645</c:v>
                </c:pt>
                <c:pt idx="346">
                  <c:v>113.2870518</c:v>
                </c:pt>
                <c:pt idx="347">
                  <c:v>99.064435200000005</c:v>
                </c:pt>
                <c:pt idx="348">
                  <c:v>102.7014959</c:v>
                </c:pt>
                <c:pt idx="349">
                  <c:v>128.61241100000001</c:v>
                </c:pt>
                <c:pt idx="350">
                  <c:v>130.2905997</c:v>
                </c:pt>
                <c:pt idx="351">
                  <c:v>146.85862950000001</c:v>
                </c:pt>
                <c:pt idx="352">
                  <c:v>161.69806170000001</c:v>
                </c:pt>
                <c:pt idx="353">
                  <c:v>142.38839189999999</c:v>
                </c:pt>
                <c:pt idx="354">
                  <c:v>158.8532802</c:v>
                </c:pt>
                <c:pt idx="355">
                  <c:v>157.91144070000001</c:v>
                </c:pt>
                <c:pt idx="356">
                  <c:v>169.4258926</c:v>
                </c:pt>
                <c:pt idx="357">
                  <c:v>145.95824880000001</c:v>
                </c:pt>
                <c:pt idx="358">
                  <c:v>166.50373970000001</c:v>
                </c:pt>
                <c:pt idx="359">
                  <c:v>167.47455640000001</c:v>
                </c:pt>
                <c:pt idx="360">
                  <c:v>168.44860639999999</c:v>
                </c:pt>
                <c:pt idx="361">
                  <c:v>228.23821079999999</c:v>
                </c:pt>
                <c:pt idx="362">
                  <c:v>191.75038989999999</c:v>
                </c:pt>
                <c:pt idx="363">
                  <c:v>293.24238070000001</c:v>
                </c:pt>
                <c:pt idx="364">
                  <c:v>234.08572899999999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9-4582-AD64-545560672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348784"/>
        <c:axId val="574349744"/>
      </c:scatterChart>
      <c:valAx>
        <c:axId val="574348784"/>
        <c:scaling>
          <c:orientation val="minMax"/>
          <c:max val="39265"/>
          <c:min val="388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49744"/>
        <c:crosses val="autoZero"/>
        <c:crossBetween val="midCat"/>
        <c:majorUnit val="61"/>
      </c:valAx>
      <c:valAx>
        <c:axId val="574349744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Flow (MCM/day)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48784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hourly!$A$2:$A$18</c:f>
              <c:numCache>
                <c:formatCode>General</c:formatCode>
                <c:ptCount val="17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264</c:v>
                </c:pt>
                <c:pt idx="12">
                  <c:v>288</c:v>
                </c:pt>
                <c:pt idx="13">
                  <c:v>312</c:v>
                </c:pt>
                <c:pt idx="14">
                  <c:v>336</c:v>
                </c:pt>
                <c:pt idx="15">
                  <c:v>360</c:v>
                </c:pt>
                <c:pt idx="16">
                  <c:v>384</c:v>
                </c:pt>
              </c:numCache>
            </c:numRef>
          </c:xVal>
          <c:yVal>
            <c:numRef>
              <c:f>hourly!$B$2:$B$18</c:f>
              <c:numCache>
                <c:formatCode>General</c:formatCode>
                <c:ptCount val="17"/>
                <c:pt idx="0">
                  <c:v>2094.1063005598403</c:v>
                </c:pt>
                <c:pt idx="1">
                  <c:v>2657.1610656054618</c:v>
                </c:pt>
                <c:pt idx="2">
                  <c:v>3753.8419984628604</c:v>
                </c:pt>
                <c:pt idx="3">
                  <c:v>5889.8847835648139</c:v>
                </c:pt>
                <c:pt idx="4">
                  <c:v>5953.8898923611114</c:v>
                </c:pt>
                <c:pt idx="5">
                  <c:v>9089.1371319444443</c:v>
                </c:pt>
                <c:pt idx="6">
                  <c:v>11052.679579861111</c:v>
                </c:pt>
                <c:pt idx="7">
                  <c:v>10101.276452546295</c:v>
                </c:pt>
                <c:pt idx="8">
                  <c:v>9198.5817476851862</c:v>
                </c:pt>
                <c:pt idx="9">
                  <c:v>8632.3433182870376</c:v>
                </c:pt>
                <c:pt idx="10">
                  <c:v>7684.453342592592</c:v>
                </c:pt>
                <c:pt idx="11">
                  <c:v>6148.2864722222221</c:v>
                </c:pt>
                <c:pt idx="12">
                  <c:v>5493.6855312500002</c:v>
                </c:pt>
                <c:pt idx="13">
                  <c:v>3922.2927199538617</c:v>
                </c:pt>
                <c:pt idx="14">
                  <c:v>2969.1948014507248</c:v>
                </c:pt>
                <c:pt idx="15">
                  <c:v>2391.1116921702796</c:v>
                </c:pt>
                <c:pt idx="16">
                  <c:v>2040.4865625296809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8E-4CE5-B804-496386710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67744"/>
        <c:axId val="157388864"/>
      </c:scatterChart>
      <c:valAx>
        <c:axId val="157367744"/>
        <c:scaling>
          <c:orientation val="minMax"/>
          <c:max val="38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8864"/>
        <c:crosses val="autoZero"/>
        <c:crossBetween val="midCat"/>
        <c:majorUnit val="48"/>
      </c:valAx>
      <c:valAx>
        <c:axId val="1573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</a:t>
                </a:r>
                <a:r>
                  <a:rPr lang="en-US" baseline="30000"/>
                  <a:t>3</a:t>
                </a:r>
                <a:r>
                  <a:rPr lang="en-US" baseline="0"/>
                  <a:t>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67744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190499</xdr:rowOff>
    </xdr:from>
    <xdr:to>
      <xdr:col>17</xdr:col>
      <xdr:colOff>581025</xdr:colOff>
      <xdr:row>23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73B392-611B-423D-98B6-90702149E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57150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BF40E4-E803-4D0D-8C8C-C1DFADC39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9A70-A059-4A18-9BAA-EFE09A8837A2}">
  <dimension ref="A1:E365"/>
  <sheetViews>
    <sheetView tabSelected="1" workbookViewId="0">
      <selection activeCell="L30" sqref="L30"/>
    </sheetView>
  </sheetViews>
  <sheetFormatPr defaultRowHeight="15" x14ac:dyDescent="0.25"/>
  <sheetData>
    <row r="1" spans="1:5" x14ac:dyDescent="0.25">
      <c r="A1" s="1">
        <v>38899</v>
      </c>
      <c r="B1">
        <v>131.98125870000001</v>
      </c>
      <c r="C1">
        <v>0</v>
      </c>
      <c r="E1">
        <v>38899</v>
      </c>
    </row>
    <row r="2" spans="1:5" x14ac:dyDescent="0.25">
      <c r="A2" s="1">
        <v>38900</v>
      </c>
      <c r="B2">
        <v>109.438199</v>
      </c>
      <c r="C2">
        <v>1</v>
      </c>
      <c r="E2" s="4">
        <v>39263</v>
      </c>
    </row>
    <row r="3" spans="1:5" x14ac:dyDescent="0.25">
      <c r="A3" s="1">
        <v>38901</v>
      </c>
      <c r="B3">
        <v>136.26261679999999</v>
      </c>
      <c r="C3">
        <v>2</v>
      </c>
    </row>
    <row r="4" spans="1:5" x14ac:dyDescent="0.25">
      <c r="A4" s="1">
        <v>38902</v>
      </c>
      <c r="B4">
        <v>135.40008090000001</v>
      </c>
      <c r="C4">
        <v>3</v>
      </c>
    </row>
    <row r="5" spans="1:5" x14ac:dyDescent="0.25">
      <c r="A5" s="1">
        <v>38903</v>
      </c>
      <c r="B5">
        <v>114.06597480000001</v>
      </c>
      <c r="C5">
        <v>4</v>
      </c>
    </row>
    <row r="6" spans="1:5" x14ac:dyDescent="0.25">
      <c r="A6" s="1">
        <v>38904</v>
      </c>
      <c r="B6">
        <v>135.40008090000001</v>
      </c>
      <c r="C6">
        <v>5</v>
      </c>
    </row>
    <row r="7" spans="1:5" x14ac:dyDescent="0.25">
      <c r="A7" s="1">
        <v>38905</v>
      </c>
      <c r="B7">
        <v>136.26261679999999</v>
      </c>
      <c r="C7">
        <v>6</v>
      </c>
    </row>
    <row r="8" spans="1:5" x14ac:dyDescent="0.25">
      <c r="A8" s="1">
        <v>38906</v>
      </c>
      <c r="B8">
        <v>197.04571530000001</v>
      </c>
      <c r="C8">
        <v>7</v>
      </c>
    </row>
    <row r="9" spans="1:5" x14ac:dyDescent="0.25">
      <c r="A9" s="1">
        <v>38907</v>
      </c>
      <c r="B9">
        <v>204.5982927</v>
      </c>
      <c r="C9">
        <v>8</v>
      </c>
    </row>
    <row r="10" spans="1:5" x14ac:dyDescent="0.25">
      <c r="A10" s="1">
        <v>38908</v>
      </c>
      <c r="B10">
        <v>299.98732050000001</v>
      </c>
      <c r="C10">
        <v>9</v>
      </c>
    </row>
    <row r="11" spans="1:5" x14ac:dyDescent="0.25">
      <c r="A11" s="1">
        <v>38909</v>
      </c>
      <c r="B11">
        <v>253.36960060000001</v>
      </c>
      <c r="C11">
        <v>10</v>
      </c>
    </row>
    <row r="12" spans="1:5" x14ac:dyDescent="0.25">
      <c r="A12" s="1">
        <v>38910</v>
      </c>
      <c r="B12">
        <v>252.1387082</v>
      </c>
      <c r="C12">
        <v>11</v>
      </c>
    </row>
    <row r="13" spans="1:5" x14ac:dyDescent="0.25">
      <c r="A13" s="1">
        <v>38911</v>
      </c>
      <c r="B13">
        <v>319.34212239999999</v>
      </c>
      <c r="C13">
        <v>12</v>
      </c>
    </row>
    <row r="14" spans="1:5" x14ac:dyDescent="0.25">
      <c r="A14" s="1">
        <v>38912</v>
      </c>
      <c r="B14">
        <v>363.16845919999997</v>
      </c>
      <c r="C14">
        <v>13</v>
      </c>
    </row>
    <row r="15" spans="1:5" x14ac:dyDescent="0.25">
      <c r="A15" s="1">
        <v>38913</v>
      </c>
      <c r="B15">
        <v>346.72385409999998</v>
      </c>
      <c r="C15">
        <v>14</v>
      </c>
    </row>
    <row r="16" spans="1:5" x14ac:dyDescent="0.25">
      <c r="A16" s="1">
        <v>38914</v>
      </c>
      <c r="B16">
        <v>340.8519728</v>
      </c>
      <c r="C16">
        <v>15</v>
      </c>
    </row>
    <row r="17" spans="1:3" x14ac:dyDescent="0.25">
      <c r="A17" s="1">
        <v>38915</v>
      </c>
      <c r="B17">
        <v>366.20533929999999</v>
      </c>
      <c r="C17">
        <v>16</v>
      </c>
    </row>
    <row r="18" spans="1:3" x14ac:dyDescent="0.25">
      <c r="A18" s="1">
        <v>38916</v>
      </c>
      <c r="B18">
        <v>293.24238070000001</v>
      </c>
      <c r="C18">
        <v>17</v>
      </c>
    </row>
    <row r="19" spans="1:3" x14ac:dyDescent="0.25">
      <c r="A19" s="1">
        <v>38917</v>
      </c>
      <c r="B19">
        <v>238.82483149999999</v>
      </c>
      <c r="C19">
        <v>18</v>
      </c>
    </row>
    <row r="20" spans="1:3" x14ac:dyDescent="0.25">
      <c r="A20" s="1">
        <v>38918</v>
      </c>
      <c r="B20">
        <v>265.8677864</v>
      </c>
      <c r="C20">
        <v>19</v>
      </c>
    </row>
    <row r="21" spans="1:3" x14ac:dyDescent="0.25">
      <c r="A21" s="1">
        <v>38919</v>
      </c>
      <c r="B21">
        <v>264.60244649999999</v>
      </c>
      <c r="C21">
        <v>20</v>
      </c>
    </row>
    <row r="22" spans="1:3" x14ac:dyDescent="0.25">
      <c r="A22" s="1">
        <v>38920</v>
      </c>
      <c r="B22">
        <v>304.07649609999999</v>
      </c>
      <c r="C22">
        <v>21</v>
      </c>
    </row>
    <row r="23" spans="1:3" x14ac:dyDescent="0.25">
      <c r="A23" s="1">
        <v>38921</v>
      </c>
      <c r="B23">
        <v>293.24238070000001</v>
      </c>
      <c r="C23">
        <v>22</v>
      </c>
    </row>
    <row r="24" spans="1:3" x14ac:dyDescent="0.25">
      <c r="A24" s="1">
        <v>38922</v>
      </c>
      <c r="B24">
        <v>267.13658420000002</v>
      </c>
      <c r="C24">
        <v>23</v>
      </c>
    </row>
    <row r="25" spans="1:3" x14ac:dyDescent="0.25">
      <c r="A25" s="1">
        <v>38923</v>
      </c>
      <c r="B25">
        <v>323.57992460000003</v>
      </c>
      <c r="C25">
        <v>24</v>
      </c>
    </row>
    <row r="26" spans="1:3" x14ac:dyDescent="0.25">
      <c r="A26" s="1">
        <v>38924</v>
      </c>
      <c r="B26">
        <v>433.35379560000001</v>
      </c>
      <c r="C26">
        <v>25</v>
      </c>
    </row>
    <row r="27" spans="1:3" x14ac:dyDescent="0.25">
      <c r="A27" s="1">
        <v>38925</v>
      </c>
      <c r="B27">
        <v>332.15165910000002</v>
      </c>
      <c r="C27">
        <v>26</v>
      </c>
    </row>
    <row r="28" spans="1:3" x14ac:dyDescent="0.25">
      <c r="A28" s="1">
        <v>38926</v>
      </c>
      <c r="B28">
        <v>446.88166699999999</v>
      </c>
      <c r="C28">
        <v>27</v>
      </c>
    </row>
    <row r="29" spans="1:3" x14ac:dyDescent="0.25">
      <c r="A29" s="1">
        <v>38927</v>
      </c>
      <c r="B29">
        <v>415.14069619999998</v>
      </c>
      <c r="C29">
        <v>28</v>
      </c>
    </row>
    <row r="30" spans="1:3" x14ac:dyDescent="0.25">
      <c r="A30" s="1">
        <v>38928</v>
      </c>
      <c r="B30">
        <v>426.67902359999999</v>
      </c>
      <c r="C30">
        <v>29</v>
      </c>
    </row>
    <row r="31" spans="1:3" x14ac:dyDescent="0.25">
      <c r="A31" s="1">
        <v>38929</v>
      </c>
      <c r="B31">
        <v>640.63574340000002</v>
      </c>
      <c r="C31">
        <v>30</v>
      </c>
    </row>
    <row r="32" spans="1:3" x14ac:dyDescent="0.25">
      <c r="A32" s="1">
        <v>38930</v>
      </c>
      <c r="B32">
        <v>709.74973050000006</v>
      </c>
      <c r="C32">
        <v>31</v>
      </c>
    </row>
    <row r="33" spans="1:3" x14ac:dyDescent="0.25">
      <c r="A33" s="1">
        <v>38931</v>
      </c>
      <c r="B33">
        <v>687.7157168</v>
      </c>
      <c r="C33">
        <v>32</v>
      </c>
    </row>
    <row r="34" spans="1:3" x14ac:dyDescent="0.25">
      <c r="A34" s="1">
        <v>38932</v>
      </c>
      <c r="B34">
        <v>801.89203880000002</v>
      </c>
      <c r="C34">
        <v>33</v>
      </c>
    </row>
    <row r="35" spans="1:3" x14ac:dyDescent="0.25">
      <c r="A35" s="1">
        <v>38933</v>
      </c>
      <c r="B35">
        <v>828.36510109999995</v>
      </c>
      <c r="C35">
        <v>34</v>
      </c>
    </row>
    <row r="36" spans="1:3" x14ac:dyDescent="0.25">
      <c r="A36" s="1">
        <v>38934</v>
      </c>
      <c r="B36">
        <v>527.4528206</v>
      </c>
      <c r="C36">
        <v>35</v>
      </c>
    </row>
    <row r="37" spans="1:3" x14ac:dyDescent="0.25">
      <c r="A37" s="1">
        <v>38935</v>
      </c>
      <c r="B37">
        <v>455.45771159999998</v>
      </c>
      <c r="C37">
        <v>36</v>
      </c>
    </row>
    <row r="38" spans="1:3" x14ac:dyDescent="0.25">
      <c r="A38" s="1">
        <v>38936</v>
      </c>
      <c r="B38">
        <v>542.58117830000003</v>
      </c>
      <c r="C38">
        <v>37</v>
      </c>
    </row>
    <row r="39" spans="1:3" x14ac:dyDescent="0.25">
      <c r="A39" s="1">
        <v>38937</v>
      </c>
      <c r="B39">
        <v>679.01337460000002</v>
      </c>
      <c r="C39">
        <v>38</v>
      </c>
    </row>
    <row r="40" spans="1:3" x14ac:dyDescent="0.25">
      <c r="A40" s="1">
        <v>38938</v>
      </c>
      <c r="B40">
        <v>666.07870549999996</v>
      </c>
      <c r="C40">
        <v>39</v>
      </c>
    </row>
    <row r="41" spans="1:3" x14ac:dyDescent="0.25">
      <c r="A41" s="1">
        <v>38939</v>
      </c>
      <c r="B41">
        <v>825.93809969999995</v>
      </c>
      <c r="C41">
        <v>40</v>
      </c>
    </row>
    <row r="42" spans="1:3" x14ac:dyDescent="0.25">
      <c r="A42" s="1">
        <v>38940</v>
      </c>
      <c r="B42">
        <v>768.90917620000005</v>
      </c>
      <c r="C42">
        <v>41</v>
      </c>
    </row>
    <row r="43" spans="1:3" x14ac:dyDescent="0.25">
      <c r="A43" s="1">
        <v>38941</v>
      </c>
      <c r="B43">
        <v>757.32149389999995</v>
      </c>
      <c r="C43">
        <v>42</v>
      </c>
    </row>
    <row r="44" spans="1:3" x14ac:dyDescent="0.25">
      <c r="A44" s="1">
        <v>38942</v>
      </c>
      <c r="B44">
        <v>867.75302339999996</v>
      </c>
      <c r="C44">
        <v>43</v>
      </c>
    </row>
    <row r="45" spans="1:3" x14ac:dyDescent="0.25">
      <c r="A45" s="1">
        <v>38943</v>
      </c>
      <c r="B45">
        <v>852.85973730000001</v>
      </c>
      <c r="C45">
        <v>44</v>
      </c>
    </row>
    <row r="46" spans="1:3" x14ac:dyDescent="0.25">
      <c r="A46" s="1">
        <v>38944</v>
      </c>
      <c r="B46">
        <v>761.94447630000002</v>
      </c>
      <c r="C46">
        <v>45</v>
      </c>
    </row>
    <row r="47" spans="1:3" x14ac:dyDescent="0.25">
      <c r="A47" s="1">
        <v>38945</v>
      </c>
      <c r="B47">
        <v>838.1139124</v>
      </c>
      <c r="C47">
        <v>46</v>
      </c>
    </row>
    <row r="48" spans="1:3" x14ac:dyDescent="0.25">
      <c r="A48" s="1">
        <v>38946</v>
      </c>
      <c r="B48">
        <v>835.6705852</v>
      </c>
      <c r="C48">
        <v>47</v>
      </c>
    </row>
    <row r="49" spans="1:3" x14ac:dyDescent="0.25">
      <c r="A49" s="1">
        <v>38947</v>
      </c>
      <c r="B49">
        <v>782.94756719999998</v>
      </c>
      <c r="C49">
        <v>48</v>
      </c>
    </row>
    <row r="50" spans="1:3" x14ac:dyDescent="0.25">
      <c r="A50" s="1">
        <v>38948</v>
      </c>
      <c r="B50">
        <v>651.16802940000002</v>
      </c>
      <c r="C50">
        <v>49</v>
      </c>
    </row>
    <row r="51" spans="1:3" x14ac:dyDescent="0.25">
      <c r="A51" s="1">
        <v>38949</v>
      </c>
      <c r="B51">
        <v>711.97503740000002</v>
      </c>
      <c r="C51">
        <v>50</v>
      </c>
    </row>
    <row r="52" spans="1:3" x14ac:dyDescent="0.25">
      <c r="A52" s="1">
        <v>38950</v>
      </c>
      <c r="B52">
        <v>683.35661300000004</v>
      </c>
      <c r="C52">
        <v>51</v>
      </c>
    </row>
    <row r="53" spans="1:3" x14ac:dyDescent="0.25">
      <c r="A53" s="1">
        <v>38951</v>
      </c>
      <c r="B53">
        <v>508.88604529999998</v>
      </c>
      <c r="C53">
        <v>52</v>
      </c>
    </row>
    <row r="54" spans="1:3" x14ac:dyDescent="0.25">
      <c r="A54" s="1">
        <v>38952</v>
      </c>
      <c r="B54">
        <v>514.41608670000005</v>
      </c>
      <c r="C54">
        <v>53</v>
      </c>
    </row>
    <row r="55" spans="1:3" x14ac:dyDescent="0.25">
      <c r="A55" s="1">
        <v>38953</v>
      </c>
      <c r="B55">
        <v>785.30144819999998</v>
      </c>
      <c r="C55">
        <v>54</v>
      </c>
    </row>
    <row r="56" spans="1:3" x14ac:dyDescent="0.25">
      <c r="A56" s="1">
        <v>38954</v>
      </c>
      <c r="B56">
        <v>954.95151569999996</v>
      </c>
      <c r="C56">
        <v>55</v>
      </c>
    </row>
    <row r="57" spans="1:3" x14ac:dyDescent="0.25">
      <c r="A57" s="1">
        <v>38955</v>
      </c>
      <c r="B57">
        <v>872.75028550000002</v>
      </c>
      <c r="C57">
        <v>56</v>
      </c>
    </row>
    <row r="58" spans="1:3" x14ac:dyDescent="0.25">
      <c r="A58" s="1">
        <v>38956</v>
      </c>
      <c r="B58">
        <v>794.75746300000003</v>
      </c>
      <c r="C58">
        <v>57</v>
      </c>
    </row>
    <row r="59" spans="1:3" x14ac:dyDescent="0.25">
      <c r="A59" s="1">
        <v>38957</v>
      </c>
      <c r="B59">
        <v>745.83446270000002</v>
      </c>
      <c r="C59">
        <v>58</v>
      </c>
    </row>
    <row r="60" spans="1:3" x14ac:dyDescent="0.25">
      <c r="A60" s="1">
        <v>38958</v>
      </c>
      <c r="B60">
        <v>663.93676879999998</v>
      </c>
      <c r="C60">
        <v>59</v>
      </c>
    </row>
    <row r="61" spans="1:3" x14ac:dyDescent="0.25">
      <c r="A61" s="1">
        <v>38959</v>
      </c>
      <c r="B61">
        <v>531.21195120000004</v>
      </c>
      <c r="C61">
        <v>60</v>
      </c>
    </row>
    <row r="62" spans="1:3" x14ac:dyDescent="0.25">
      <c r="A62" s="1">
        <v>38960</v>
      </c>
      <c r="B62">
        <v>474.65442990000003</v>
      </c>
      <c r="C62">
        <v>61</v>
      </c>
    </row>
    <row r="63" spans="1:3" x14ac:dyDescent="0.25">
      <c r="A63" s="1">
        <v>38961</v>
      </c>
      <c r="B63">
        <v>494.30632450000002</v>
      </c>
      <c r="C63">
        <v>62</v>
      </c>
    </row>
    <row r="64" spans="1:3" x14ac:dyDescent="0.25">
      <c r="A64" s="1">
        <v>38962</v>
      </c>
      <c r="B64">
        <v>518.12180790000002</v>
      </c>
      <c r="C64">
        <v>63</v>
      </c>
    </row>
    <row r="65" spans="1:3" x14ac:dyDescent="0.25">
      <c r="A65" s="1">
        <v>38963</v>
      </c>
      <c r="B65">
        <v>478.19356629999999</v>
      </c>
      <c r="C65">
        <v>64</v>
      </c>
    </row>
    <row r="66" spans="1:3" x14ac:dyDescent="0.25">
      <c r="A66" s="1">
        <v>38964</v>
      </c>
      <c r="B66">
        <v>544.48946269999999</v>
      </c>
      <c r="C66">
        <v>65</v>
      </c>
    </row>
    <row r="67" spans="1:3" x14ac:dyDescent="0.25">
      <c r="A67" s="1">
        <v>38965</v>
      </c>
      <c r="B67">
        <v>589.44311649999997</v>
      </c>
      <c r="C67">
        <v>66</v>
      </c>
    </row>
    <row r="68" spans="1:3" x14ac:dyDescent="0.25">
      <c r="A68" s="1">
        <v>38966</v>
      </c>
      <c r="B68">
        <v>599.4865873</v>
      </c>
      <c r="C68">
        <v>67</v>
      </c>
    </row>
    <row r="69" spans="1:3" x14ac:dyDescent="0.25">
      <c r="A69" s="1">
        <v>38967</v>
      </c>
      <c r="B69">
        <v>599.4865873</v>
      </c>
      <c r="C69">
        <v>68</v>
      </c>
    </row>
    <row r="70" spans="1:3" x14ac:dyDescent="0.25">
      <c r="A70" s="1">
        <v>38968</v>
      </c>
      <c r="B70">
        <v>601.50694869999995</v>
      </c>
      <c r="C70">
        <v>69</v>
      </c>
    </row>
    <row r="71" spans="1:3" x14ac:dyDescent="0.25">
      <c r="A71" s="1">
        <v>38969</v>
      </c>
      <c r="B71">
        <v>623.98831399999995</v>
      </c>
      <c r="C71">
        <v>70</v>
      </c>
    </row>
    <row r="72" spans="1:3" x14ac:dyDescent="0.25">
      <c r="A72" s="1">
        <v>38970</v>
      </c>
      <c r="B72">
        <v>583.4636342</v>
      </c>
      <c r="C72">
        <v>71</v>
      </c>
    </row>
    <row r="73" spans="1:3" x14ac:dyDescent="0.25">
      <c r="A73" s="1">
        <v>38971</v>
      </c>
      <c r="B73">
        <v>488.90142120000002</v>
      </c>
      <c r="C73">
        <v>72</v>
      </c>
    </row>
    <row r="74" spans="1:3" x14ac:dyDescent="0.25">
      <c r="A74" s="1">
        <v>38972</v>
      </c>
      <c r="B74">
        <v>516.26704329999995</v>
      </c>
      <c r="C74">
        <v>73</v>
      </c>
    </row>
    <row r="75" spans="1:3" x14ac:dyDescent="0.25">
      <c r="A75" s="1">
        <v>38973</v>
      </c>
      <c r="B75">
        <v>531.21195120000004</v>
      </c>
      <c r="C75">
        <v>74</v>
      </c>
    </row>
    <row r="76" spans="1:3" x14ac:dyDescent="0.25">
      <c r="A76" s="1">
        <v>38974</v>
      </c>
      <c r="B76">
        <v>487.10734550000001</v>
      </c>
      <c r="C76">
        <v>75</v>
      </c>
    </row>
    <row r="77" spans="1:3" x14ac:dyDescent="0.25">
      <c r="A77" s="1">
        <v>38975</v>
      </c>
      <c r="B77">
        <v>483.53052000000002</v>
      </c>
      <c r="C77">
        <v>76</v>
      </c>
    </row>
    <row r="78" spans="1:3" x14ac:dyDescent="0.25">
      <c r="A78" s="1">
        <v>38976</v>
      </c>
      <c r="B78">
        <v>481.74776609999998</v>
      </c>
      <c r="C78">
        <v>77</v>
      </c>
    </row>
    <row r="79" spans="1:3" x14ac:dyDescent="0.25">
      <c r="A79" s="1">
        <v>38977</v>
      </c>
      <c r="B79">
        <v>467.62128250000001</v>
      </c>
      <c r="C79">
        <v>78</v>
      </c>
    </row>
    <row r="80" spans="1:3" x14ac:dyDescent="0.25">
      <c r="A80" s="1">
        <v>38978</v>
      </c>
      <c r="B80">
        <v>455.45771159999998</v>
      </c>
      <c r="C80">
        <v>79</v>
      </c>
    </row>
    <row r="81" spans="1:3" x14ac:dyDescent="0.25">
      <c r="A81" s="1">
        <v>38979</v>
      </c>
      <c r="B81">
        <v>460.64819360000001</v>
      </c>
      <c r="C81">
        <v>80</v>
      </c>
    </row>
    <row r="82" spans="1:3" x14ac:dyDescent="0.25">
      <c r="A82" s="1">
        <v>38980</v>
      </c>
      <c r="B82">
        <v>453.7350323</v>
      </c>
      <c r="C82">
        <v>81</v>
      </c>
    </row>
    <row r="83" spans="1:3" x14ac:dyDescent="0.25">
      <c r="A83" s="1">
        <v>38981</v>
      </c>
      <c r="B83">
        <v>410.25108030000001</v>
      </c>
      <c r="C83">
        <v>82</v>
      </c>
    </row>
    <row r="84" spans="1:3" x14ac:dyDescent="0.25">
      <c r="A84" s="1">
        <v>38982</v>
      </c>
      <c r="B84">
        <v>402.17535099999998</v>
      </c>
      <c r="C84">
        <v>83</v>
      </c>
    </row>
    <row r="85" spans="1:3" x14ac:dyDescent="0.25">
      <c r="A85" s="1">
        <v>38983</v>
      </c>
      <c r="B85">
        <v>358.64027060000001</v>
      </c>
      <c r="C85">
        <v>84</v>
      </c>
    </row>
    <row r="86" spans="1:3" x14ac:dyDescent="0.25">
      <c r="A86" s="1">
        <v>38984</v>
      </c>
      <c r="B86">
        <v>335.03745309999999</v>
      </c>
      <c r="C86">
        <v>85</v>
      </c>
    </row>
    <row r="87" spans="1:3" x14ac:dyDescent="0.25">
      <c r="A87" s="1">
        <v>38985</v>
      </c>
      <c r="B87">
        <v>346.72385409999998</v>
      </c>
      <c r="C87">
        <v>86</v>
      </c>
    </row>
    <row r="88" spans="1:3" x14ac:dyDescent="0.25">
      <c r="A88" s="1">
        <v>38986</v>
      </c>
      <c r="B88">
        <v>375.40299349999998</v>
      </c>
      <c r="C88">
        <v>87</v>
      </c>
    </row>
    <row r="89" spans="1:3" x14ac:dyDescent="0.25">
      <c r="A89" s="1">
        <v>38987</v>
      </c>
      <c r="B89">
        <v>375.40299349999998</v>
      </c>
      <c r="C89">
        <v>88</v>
      </c>
    </row>
    <row r="90" spans="1:3" x14ac:dyDescent="0.25">
      <c r="A90" s="1">
        <v>38988</v>
      </c>
      <c r="B90">
        <v>330.71412070000002</v>
      </c>
      <c r="C90">
        <v>89</v>
      </c>
    </row>
    <row r="91" spans="1:3" x14ac:dyDescent="0.25">
      <c r="A91" s="1">
        <v>38989</v>
      </c>
      <c r="B91">
        <v>339.3929708</v>
      </c>
      <c r="C91">
        <v>90</v>
      </c>
    </row>
    <row r="92" spans="1:3" x14ac:dyDescent="0.25">
      <c r="A92" s="1">
        <v>38990</v>
      </c>
      <c r="B92">
        <v>322.16376880000001</v>
      </c>
      <c r="C92">
        <v>91</v>
      </c>
    </row>
    <row r="93" spans="1:3" x14ac:dyDescent="0.25">
      <c r="A93" s="1">
        <v>38991</v>
      </c>
      <c r="B93">
        <v>313.74142710000001</v>
      </c>
      <c r="C93">
        <v>92</v>
      </c>
    </row>
    <row r="94" spans="1:3" x14ac:dyDescent="0.25">
      <c r="A94" s="1">
        <v>38992</v>
      </c>
      <c r="B94">
        <v>306.82023980000002</v>
      </c>
      <c r="C94">
        <v>93</v>
      </c>
    </row>
    <row r="95" spans="1:3" x14ac:dyDescent="0.25">
      <c r="A95" s="1">
        <v>38993</v>
      </c>
      <c r="B95">
        <v>322.16376880000001</v>
      </c>
      <c r="C95">
        <v>94</v>
      </c>
    </row>
    <row r="96" spans="1:3" x14ac:dyDescent="0.25">
      <c r="A96" s="1">
        <v>38994</v>
      </c>
      <c r="B96">
        <v>289.23752639999998</v>
      </c>
      <c r="C96">
        <v>95</v>
      </c>
    </row>
    <row r="97" spans="1:3" x14ac:dyDescent="0.25">
      <c r="A97" s="1">
        <v>38995</v>
      </c>
      <c r="B97">
        <v>282.63274949999999</v>
      </c>
      <c r="C97">
        <v>96</v>
      </c>
    </row>
    <row r="98" spans="1:3" x14ac:dyDescent="0.25">
      <c r="A98" s="1">
        <v>38996</v>
      </c>
      <c r="B98">
        <v>259.57561889999999</v>
      </c>
      <c r="C98">
        <v>97</v>
      </c>
    </row>
    <row r="99" spans="1:3" x14ac:dyDescent="0.25">
      <c r="A99" s="1">
        <v>38997</v>
      </c>
      <c r="B99">
        <v>240.01811219999999</v>
      </c>
      <c r="C99">
        <v>98</v>
      </c>
    </row>
    <row r="100" spans="1:3" x14ac:dyDescent="0.25">
      <c r="A100" s="1">
        <v>38998</v>
      </c>
      <c r="B100">
        <v>224.77030569999999</v>
      </c>
      <c r="C100">
        <v>99</v>
      </c>
    </row>
    <row r="101" spans="1:3" x14ac:dyDescent="0.25">
      <c r="A101" s="1">
        <v>38999</v>
      </c>
      <c r="B101">
        <v>215.67085800000001</v>
      </c>
      <c r="C101">
        <v>100</v>
      </c>
    </row>
    <row r="102" spans="1:3" x14ac:dyDescent="0.25">
      <c r="A102" s="1">
        <v>39000</v>
      </c>
      <c r="B102">
        <v>216.79652179999999</v>
      </c>
      <c r="C102">
        <v>101</v>
      </c>
    </row>
    <row r="103" spans="1:3" x14ac:dyDescent="0.25">
      <c r="A103" s="1">
        <v>39001</v>
      </c>
      <c r="B103">
        <v>216.79652179999999</v>
      </c>
      <c r="C103">
        <v>102</v>
      </c>
    </row>
    <row r="104" spans="1:3" x14ac:dyDescent="0.25">
      <c r="A104" s="1">
        <v>39002</v>
      </c>
      <c r="B104">
        <v>238.82483149999999</v>
      </c>
      <c r="C104">
        <v>103</v>
      </c>
    </row>
    <row r="105" spans="1:3" x14ac:dyDescent="0.25">
      <c r="A105" s="1">
        <v>39003</v>
      </c>
      <c r="B105">
        <v>227.07886360000001</v>
      </c>
      <c r="C105">
        <v>104</v>
      </c>
    </row>
    <row r="106" spans="1:3" x14ac:dyDescent="0.25">
      <c r="A106" s="1">
        <v>39004</v>
      </c>
      <c r="B106">
        <v>194.91767129999999</v>
      </c>
      <c r="C106">
        <v>105</v>
      </c>
    </row>
    <row r="107" spans="1:3" x14ac:dyDescent="0.25">
      <c r="A107" s="1">
        <v>39005</v>
      </c>
      <c r="B107">
        <v>184.47536049999999</v>
      </c>
      <c r="C107">
        <v>106</v>
      </c>
    </row>
    <row r="108" spans="1:3" x14ac:dyDescent="0.25">
      <c r="A108" s="1">
        <v>39006</v>
      </c>
      <c r="B108">
        <v>187.5735024</v>
      </c>
      <c r="C108">
        <v>107</v>
      </c>
    </row>
    <row r="109" spans="1:3" x14ac:dyDescent="0.25">
      <c r="A109" s="1">
        <v>39007</v>
      </c>
      <c r="B109">
        <v>189.6553614</v>
      </c>
      <c r="C109">
        <v>108</v>
      </c>
    </row>
    <row r="110" spans="1:3" x14ac:dyDescent="0.25">
      <c r="A110" s="1">
        <v>39008</v>
      </c>
      <c r="B110">
        <v>174.3609605</v>
      </c>
      <c r="C110">
        <v>109</v>
      </c>
    </row>
    <row r="111" spans="1:3" x14ac:dyDescent="0.25">
      <c r="A111" s="1">
        <v>39009</v>
      </c>
      <c r="B111">
        <v>175.35772040000001</v>
      </c>
      <c r="C111">
        <v>110</v>
      </c>
    </row>
    <row r="112" spans="1:3" x14ac:dyDescent="0.25">
      <c r="A112" s="1">
        <v>39010</v>
      </c>
      <c r="B112">
        <v>165.5361537</v>
      </c>
      <c r="C112">
        <v>111</v>
      </c>
    </row>
    <row r="113" spans="1:3" x14ac:dyDescent="0.25">
      <c r="A113" s="1">
        <v>39011</v>
      </c>
      <c r="B113">
        <v>165.5361537</v>
      </c>
      <c r="C113">
        <v>112</v>
      </c>
    </row>
    <row r="114" spans="1:3" x14ac:dyDescent="0.25">
      <c r="A114" s="1">
        <v>39012</v>
      </c>
      <c r="B114">
        <v>158.8532802</v>
      </c>
      <c r="C114">
        <v>113</v>
      </c>
    </row>
    <row r="115" spans="1:3" x14ac:dyDescent="0.25">
      <c r="A115" s="1">
        <v>39013</v>
      </c>
      <c r="B115">
        <v>150.49190340000001</v>
      </c>
      <c r="C115">
        <v>114</v>
      </c>
    </row>
    <row r="116" spans="1:3" x14ac:dyDescent="0.25">
      <c r="A116" s="1">
        <v>39014</v>
      </c>
      <c r="B116">
        <v>145.0610375</v>
      </c>
      <c r="C116">
        <v>115</v>
      </c>
    </row>
    <row r="117" spans="1:3" x14ac:dyDescent="0.25">
      <c r="A117" s="1">
        <v>39015</v>
      </c>
      <c r="B117">
        <v>145.95824880000001</v>
      </c>
      <c r="C117">
        <v>116</v>
      </c>
    </row>
    <row r="118" spans="1:3" x14ac:dyDescent="0.25">
      <c r="A118" s="1">
        <v>39016</v>
      </c>
      <c r="B118">
        <v>140.62242309999999</v>
      </c>
      <c r="C118">
        <v>117</v>
      </c>
    </row>
    <row r="119" spans="1:3" x14ac:dyDescent="0.25">
      <c r="A119" s="1">
        <v>39017</v>
      </c>
      <c r="B119">
        <v>147.76218249999999</v>
      </c>
      <c r="C119">
        <v>118</v>
      </c>
    </row>
    <row r="120" spans="1:3" x14ac:dyDescent="0.25">
      <c r="A120" s="1">
        <v>39018</v>
      </c>
      <c r="B120">
        <v>143.27611189999999</v>
      </c>
      <c r="C120">
        <v>119</v>
      </c>
    </row>
    <row r="121" spans="1:3" x14ac:dyDescent="0.25">
      <c r="A121" s="1">
        <v>39019</v>
      </c>
      <c r="B121">
        <v>182.42633259999999</v>
      </c>
      <c r="C121">
        <v>120</v>
      </c>
    </row>
    <row r="122" spans="1:3" x14ac:dyDescent="0.25">
      <c r="A122" s="1">
        <v>39020</v>
      </c>
      <c r="B122">
        <v>223.62108989999999</v>
      </c>
      <c r="C122">
        <v>121</v>
      </c>
    </row>
    <row r="123" spans="1:3" x14ac:dyDescent="0.25">
      <c r="A123" s="1">
        <v>39021</v>
      </c>
      <c r="B123">
        <v>240.01811219999999</v>
      </c>
      <c r="C123">
        <v>122</v>
      </c>
    </row>
    <row r="124" spans="1:3" x14ac:dyDescent="0.25">
      <c r="A124" s="1">
        <v>39022</v>
      </c>
      <c r="B124">
        <v>247.24942909999999</v>
      </c>
      <c r="C124">
        <v>123</v>
      </c>
    </row>
    <row r="125" spans="1:3" x14ac:dyDescent="0.25">
      <c r="A125" s="1">
        <v>39023</v>
      </c>
      <c r="B125">
        <v>225.9228961</v>
      </c>
      <c r="C125">
        <v>124</v>
      </c>
    </row>
    <row r="126" spans="1:3" x14ac:dyDescent="0.25">
      <c r="A126" s="1">
        <v>39024</v>
      </c>
      <c r="B126">
        <v>184.47536049999999</v>
      </c>
      <c r="C126">
        <v>125</v>
      </c>
    </row>
    <row r="127" spans="1:3" x14ac:dyDescent="0.25">
      <c r="A127" s="1">
        <v>39025</v>
      </c>
      <c r="B127">
        <v>160.74658790000001</v>
      </c>
      <c r="C127">
        <v>126</v>
      </c>
    </row>
    <row r="128" spans="1:3" x14ac:dyDescent="0.25">
      <c r="A128" s="1">
        <v>39026</v>
      </c>
      <c r="B128">
        <v>148.6689106</v>
      </c>
      <c r="C128">
        <v>127</v>
      </c>
    </row>
    <row r="129" spans="1:3" x14ac:dyDescent="0.25">
      <c r="A129" s="1">
        <v>39027</v>
      </c>
      <c r="B129">
        <v>138.3455113</v>
      </c>
      <c r="C129">
        <v>128</v>
      </c>
    </row>
    <row r="130" spans="1:3" x14ac:dyDescent="0.25">
      <c r="A130" s="1">
        <v>39028</v>
      </c>
      <c r="B130">
        <v>130.2905997</v>
      </c>
      <c r="C130">
        <v>129</v>
      </c>
    </row>
    <row r="131" spans="1:3" x14ac:dyDescent="0.25">
      <c r="A131" s="1">
        <v>39029</v>
      </c>
      <c r="B131">
        <v>122.8366146</v>
      </c>
      <c r="C131">
        <v>130</v>
      </c>
    </row>
    <row r="132" spans="1:3" x14ac:dyDescent="0.25">
      <c r="A132" s="1">
        <v>39030</v>
      </c>
      <c r="B132">
        <v>117.2122761</v>
      </c>
      <c r="C132">
        <v>131</v>
      </c>
    </row>
    <row r="133" spans="1:3" x14ac:dyDescent="0.25">
      <c r="A133" s="1">
        <v>39031</v>
      </c>
      <c r="B133">
        <v>112.5111837</v>
      </c>
      <c r="C133">
        <v>132</v>
      </c>
    </row>
    <row r="134" spans="1:3" x14ac:dyDescent="0.25">
      <c r="A134" s="1">
        <v>39032</v>
      </c>
      <c r="B134">
        <v>109.438199</v>
      </c>
      <c r="C134">
        <v>133</v>
      </c>
    </row>
    <row r="135" spans="1:3" x14ac:dyDescent="0.25">
      <c r="A135" s="1">
        <v>39033</v>
      </c>
      <c r="B135">
        <v>112.5111837</v>
      </c>
      <c r="C135">
        <v>134</v>
      </c>
    </row>
    <row r="136" spans="1:3" x14ac:dyDescent="0.25">
      <c r="A136" s="1">
        <v>39034</v>
      </c>
      <c r="B136">
        <v>112.5111837</v>
      </c>
      <c r="C136">
        <v>135</v>
      </c>
    </row>
    <row r="137" spans="1:3" x14ac:dyDescent="0.25">
      <c r="A137" s="1">
        <v>39035</v>
      </c>
      <c r="B137">
        <v>111.7383675</v>
      </c>
      <c r="C137">
        <v>136</v>
      </c>
    </row>
    <row r="138" spans="1:3" x14ac:dyDescent="0.25">
      <c r="A138" s="1">
        <v>39036</v>
      </c>
      <c r="B138">
        <v>111.7383675</v>
      </c>
      <c r="C138">
        <v>137</v>
      </c>
    </row>
    <row r="139" spans="1:3" x14ac:dyDescent="0.25">
      <c r="A139" s="1">
        <v>39037</v>
      </c>
      <c r="B139">
        <v>106.413847</v>
      </c>
      <c r="C139">
        <v>138</v>
      </c>
    </row>
    <row r="140" spans="1:3" x14ac:dyDescent="0.25">
      <c r="A140" s="1">
        <v>39038</v>
      </c>
      <c r="B140">
        <v>99.064435200000005</v>
      </c>
      <c r="C140">
        <v>139</v>
      </c>
    </row>
    <row r="141" spans="1:3" x14ac:dyDescent="0.25">
      <c r="A141" s="1">
        <v>39039</v>
      </c>
      <c r="B141">
        <v>94.098288409999995</v>
      </c>
      <c r="C141">
        <v>140</v>
      </c>
    </row>
    <row r="142" spans="1:3" x14ac:dyDescent="0.25">
      <c r="A142" s="1">
        <v>39040</v>
      </c>
      <c r="B142">
        <v>90.640311969999999</v>
      </c>
      <c r="C142">
        <v>141</v>
      </c>
    </row>
    <row r="143" spans="1:3" x14ac:dyDescent="0.25">
      <c r="A143" s="1">
        <v>39041</v>
      </c>
      <c r="B143">
        <v>83.945759760000001</v>
      </c>
      <c r="C143">
        <v>142</v>
      </c>
    </row>
    <row r="144" spans="1:3" x14ac:dyDescent="0.25">
      <c r="A144" s="1">
        <v>39042</v>
      </c>
      <c r="B144">
        <v>85.261167369999995</v>
      </c>
      <c r="C144">
        <v>143</v>
      </c>
    </row>
    <row r="145" spans="1:3" x14ac:dyDescent="0.25">
      <c r="A145" s="1">
        <v>39043</v>
      </c>
      <c r="B145">
        <v>82.642050830000002</v>
      </c>
      <c r="C145">
        <v>144</v>
      </c>
    </row>
    <row r="146" spans="1:3" x14ac:dyDescent="0.25">
      <c r="A146" s="1">
        <v>39044</v>
      </c>
      <c r="B146">
        <v>82.642050830000002</v>
      </c>
      <c r="C146">
        <v>145</v>
      </c>
    </row>
    <row r="147" spans="1:3" x14ac:dyDescent="0.25">
      <c r="A147" s="1">
        <v>39045</v>
      </c>
      <c r="B147">
        <v>82.642050830000002</v>
      </c>
      <c r="C147">
        <v>146</v>
      </c>
    </row>
    <row r="148" spans="1:3" x14ac:dyDescent="0.25">
      <c r="A148" s="1">
        <v>39046</v>
      </c>
      <c r="B148">
        <v>83.292444619999998</v>
      </c>
      <c r="C148">
        <v>147</v>
      </c>
    </row>
    <row r="149" spans="1:3" x14ac:dyDescent="0.25">
      <c r="A149" s="1">
        <v>39047</v>
      </c>
      <c r="B149">
        <v>81.350013989999994</v>
      </c>
      <c r="C149">
        <v>148</v>
      </c>
    </row>
    <row r="150" spans="1:3" x14ac:dyDescent="0.25">
      <c r="A150" s="1">
        <v>39048</v>
      </c>
      <c r="B150">
        <v>78.800849700000001</v>
      </c>
      <c r="C150">
        <v>149</v>
      </c>
    </row>
    <row r="151" spans="1:3" x14ac:dyDescent="0.25">
      <c r="A151" s="1">
        <v>39049</v>
      </c>
      <c r="B151">
        <v>76.298051909999998</v>
      </c>
      <c r="C151">
        <v>150</v>
      </c>
    </row>
    <row r="152" spans="1:3" x14ac:dyDescent="0.25">
      <c r="A152" s="1">
        <v>39050</v>
      </c>
      <c r="B152">
        <v>73.234426880000001</v>
      </c>
      <c r="C152">
        <v>151</v>
      </c>
    </row>
    <row r="153" spans="1:3" x14ac:dyDescent="0.25">
      <c r="A153" s="1">
        <v>39051</v>
      </c>
      <c r="B153">
        <v>71.430686069999993</v>
      </c>
      <c r="C153">
        <v>152</v>
      </c>
    </row>
    <row r="154" spans="1:3" x14ac:dyDescent="0.25">
      <c r="A154" s="1">
        <v>39052</v>
      </c>
      <c r="B154">
        <v>24.422632329999999</v>
      </c>
      <c r="C154">
        <v>153</v>
      </c>
    </row>
    <row r="155" spans="1:3" x14ac:dyDescent="0.25">
      <c r="A155" s="1">
        <v>39053</v>
      </c>
      <c r="B155">
        <v>67.900245589999997</v>
      </c>
      <c r="C155">
        <v>154</v>
      </c>
    </row>
    <row r="156" spans="1:3" x14ac:dyDescent="0.25">
      <c r="A156" s="1">
        <v>39054</v>
      </c>
      <c r="B156">
        <v>65.603383120000004</v>
      </c>
      <c r="C156">
        <v>155</v>
      </c>
    </row>
    <row r="157" spans="1:3" x14ac:dyDescent="0.25">
      <c r="A157" s="1">
        <v>39055</v>
      </c>
      <c r="B157">
        <v>65.036230750000001</v>
      </c>
      <c r="C157">
        <v>156</v>
      </c>
    </row>
    <row r="158" spans="1:3" x14ac:dyDescent="0.25">
      <c r="A158" s="1">
        <v>39056</v>
      </c>
      <c r="B158">
        <v>66.173357240000001</v>
      </c>
      <c r="C158">
        <v>157</v>
      </c>
    </row>
    <row r="159" spans="1:3" x14ac:dyDescent="0.25">
      <c r="A159" s="1">
        <v>39057</v>
      </c>
      <c r="B159">
        <v>72.630317309999995</v>
      </c>
      <c r="C159">
        <v>158</v>
      </c>
    </row>
    <row r="160" spans="1:3" x14ac:dyDescent="0.25">
      <c r="A160" s="1">
        <v>39058</v>
      </c>
      <c r="B160">
        <v>76.298051909999998</v>
      </c>
      <c r="C160">
        <v>159</v>
      </c>
    </row>
    <row r="161" spans="1:3" x14ac:dyDescent="0.25">
      <c r="A161" s="1">
        <v>39059</v>
      </c>
      <c r="B161">
        <v>76.298051909999998</v>
      </c>
      <c r="C161">
        <v>160</v>
      </c>
    </row>
    <row r="162" spans="1:3" x14ac:dyDescent="0.25">
      <c r="A162" s="1">
        <v>39060</v>
      </c>
      <c r="B162">
        <v>71.430686069999993</v>
      </c>
      <c r="C162">
        <v>161</v>
      </c>
    </row>
    <row r="163" spans="1:3" x14ac:dyDescent="0.25">
      <c r="A163" s="1">
        <v>39061</v>
      </c>
      <c r="B163">
        <v>73.234426880000001</v>
      </c>
      <c r="C163">
        <v>162</v>
      </c>
    </row>
    <row r="164" spans="1:3" x14ac:dyDescent="0.25">
      <c r="A164" s="1">
        <v>39062</v>
      </c>
      <c r="B164">
        <v>73.234426880000001</v>
      </c>
      <c r="C164">
        <v>163</v>
      </c>
    </row>
    <row r="165" spans="1:3" x14ac:dyDescent="0.25">
      <c r="A165" s="1">
        <v>39063</v>
      </c>
      <c r="B165">
        <v>70.242482269999996</v>
      </c>
      <c r="C165">
        <v>164</v>
      </c>
    </row>
    <row r="166" spans="1:3" x14ac:dyDescent="0.25">
      <c r="A166" s="1">
        <v>39064</v>
      </c>
      <c r="B166">
        <v>64.471896580000006</v>
      </c>
      <c r="C166">
        <v>165</v>
      </c>
    </row>
    <row r="167" spans="1:3" x14ac:dyDescent="0.25">
      <c r="A167" s="1">
        <v>39065</v>
      </c>
      <c r="B167">
        <v>61.692373539999998</v>
      </c>
      <c r="C167">
        <v>166</v>
      </c>
    </row>
    <row r="168" spans="1:3" x14ac:dyDescent="0.25">
      <c r="A168" s="1">
        <v>39066</v>
      </c>
      <c r="B168">
        <v>54.28020763</v>
      </c>
      <c r="C168">
        <v>167</v>
      </c>
    </row>
    <row r="169" spans="1:3" x14ac:dyDescent="0.25">
      <c r="A169" s="1">
        <v>39067</v>
      </c>
      <c r="B169">
        <v>57.39037338</v>
      </c>
      <c r="C169">
        <v>168</v>
      </c>
    </row>
    <row r="170" spans="1:3" x14ac:dyDescent="0.25">
      <c r="A170" s="1">
        <v>39068</v>
      </c>
      <c r="B170">
        <v>55.305909210000003</v>
      </c>
      <c r="C170">
        <v>169</v>
      </c>
    </row>
    <row r="171" spans="1:3" x14ac:dyDescent="0.25">
      <c r="A171" s="1">
        <v>39069</v>
      </c>
      <c r="B171">
        <v>56.342621200000004</v>
      </c>
      <c r="C171">
        <v>170</v>
      </c>
    </row>
    <row r="172" spans="1:3" x14ac:dyDescent="0.25">
      <c r="A172" s="1">
        <v>39070</v>
      </c>
      <c r="B172">
        <v>54.791683980000002</v>
      </c>
      <c r="C172">
        <v>171</v>
      </c>
    </row>
    <row r="173" spans="1:3" x14ac:dyDescent="0.25">
      <c r="A173" s="1">
        <v>39071</v>
      </c>
      <c r="B173">
        <v>53.265486590000002</v>
      </c>
      <c r="C173">
        <v>172</v>
      </c>
    </row>
    <row r="174" spans="1:3" x14ac:dyDescent="0.25">
      <c r="A174" s="1">
        <v>39072</v>
      </c>
      <c r="B174">
        <v>52.261715989999999</v>
      </c>
      <c r="C174">
        <v>173</v>
      </c>
    </row>
    <row r="175" spans="1:3" x14ac:dyDescent="0.25">
      <c r="A175" s="1">
        <v>39073</v>
      </c>
      <c r="B175">
        <v>50.776526029999999</v>
      </c>
      <c r="C175">
        <v>174</v>
      </c>
    </row>
    <row r="176" spans="1:3" x14ac:dyDescent="0.25">
      <c r="A176" s="1">
        <v>39074</v>
      </c>
      <c r="B176">
        <v>49.799998960000003</v>
      </c>
      <c r="C176">
        <v>175</v>
      </c>
    </row>
    <row r="177" spans="1:3" x14ac:dyDescent="0.25">
      <c r="A177" s="1">
        <v>39075</v>
      </c>
      <c r="B177">
        <v>49.315803819999999</v>
      </c>
      <c r="C177">
        <v>176</v>
      </c>
    </row>
    <row r="178" spans="1:3" x14ac:dyDescent="0.25">
      <c r="A178" s="1">
        <v>39076</v>
      </c>
      <c r="B178">
        <v>48.834315830000001</v>
      </c>
      <c r="C178">
        <v>177</v>
      </c>
    </row>
    <row r="179" spans="1:3" x14ac:dyDescent="0.25">
      <c r="A179" s="1">
        <v>39077</v>
      </c>
      <c r="B179">
        <v>46.467347599999997</v>
      </c>
      <c r="C179">
        <v>178</v>
      </c>
    </row>
    <row r="180" spans="1:3" x14ac:dyDescent="0.25">
      <c r="A180" s="1">
        <v>39078</v>
      </c>
      <c r="B180">
        <v>45.07940387</v>
      </c>
      <c r="C180">
        <v>179</v>
      </c>
    </row>
    <row r="181" spans="1:3" x14ac:dyDescent="0.25">
      <c r="A181" s="1">
        <v>39079</v>
      </c>
      <c r="B181">
        <v>45.07940387</v>
      </c>
      <c r="C181">
        <v>180</v>
      </c>
    </row>
    <row r="182" spans="1:3" x14ac:dyDescent="0.25">
      <c r="A182" s="1">
        <v>39080</v>
      </c>
      <c r="B182">
        <v>49.315803819999999</v>
      </c>
      <c r="C182">
        <v>181</v>
      </c>
    </row>
    <row r="183" spans="1:3" x14ac:dyDescent="0.25">
      <c r="A183" s="1">
        <v>39081</v>
      </c>
      <c r="B183">
        <v>46.00202109</v>
      </c>
      <c r="C183">
        <v>182</v>
      </c>
    </row>
    <row r="184" spans="1:3" x14ac:dyDescent="0.25">
      <c r="A184" s="1">
        <v>39082</v>
      </c>
      <c r="B184">
        <v>43.266202210000003</v>
      </c>
      <c r="C184">
        <v>183</v>
      </c>
    </row>
    <row r="185" spans="1:3" x14ac:dyDescent="0.25">
      <c r="A185" s="1">
        <v>39083</v>
      </c>
      <c r="B185">
        <v>41.934204389999998</v>
      </c>
      <c r="C185">
        <v>184</v>
      </c>
    </row>
    <row r="186" spans="1:3" x14ac:dyDescent="0.25">
      <c r="A186" s="1">
        <v>39084</v>
      </c>
      <c r="B186">
        <v>42.819552129999998</v>
      </c>
      <c r="C186">
        <v>185</v>
      </c>
    </row>
    <row r="187" spans="1:3" x14ac:dyDescent="0.25">
      <c r="A187" s="1">
        <v>39085</v>
      </c>
      <c r="B187">
        <v>45.07940387</v>
      </c>
      <c r="C187">
        <v>186</v>
      </c>
    </row>
    <row r="188" spans="1:3" x14ac:dyDescent="0.25">
      <c r="A188" s="1">
        <v>39086</v>
      </c>
      <c r="B188">
        <v>46.00202109</v>
      </c>
      <c r="C188">
        <v>187</v>
      </c>
    </row>
    <row r="189" spans="1:3" x14ac:dyDescent="0.25">
      <c r="A189" s="1">
        <v>39087</v>
      </c>
      <c r="B189">
        <v>46.00202109</v>
      </c>
      <c r="C189">
        <v>188</v>
      </c>
    </row>
    <row r="190" spans="1:3" x14ac:dyDescent="0.25">
      <c r="A190" s="1">
        <v>39088</v>
      </c>
      <c r="B190">
        <v>45.07940387</v>
      </c>
      <c r="C190">
        <v>189</v>
      </c>
    </row>
    <row r="191" spans="1:3" x14ac:dyDescent="0.25">
      <c r="A191" s="1">
        <v>39089</v>
      </c>
      <c r="B191">
        <v>44.622105300000001</v>
      </c>
      <c r="C191">
        <v>190</v>
      </c>
    </row>
    <row r="192" spans="1:3" x14ac:dyDescent="0.25">
      <c r="A192" s="1">
        <v>39090</v>
      </c>
      <c r="B192">
        <v>44.622105300000001</v>
      </c>
      <c r="C192">
        <v>191</v>
      </c>
    </row>
    <row r="193" spans="1:3" x14ac:dyDescent="0.25">
      <c r="A193" s="1">
        <v>39091</v>
      </c>
      <c r="B193">
        <v>43.715508440000001</v>
      </c>
      <c r="C193">
        <v>192</v>
      </c>
    </row>
    <row r="194" spans="1:3" x14ac:dyDescent="0.25">
      <c r="A194" s="1">
        <v>39092</v>
      </c>
      <c r="B194">
        <v>43.266202210000003</v>
      </c>
      <c r="C194">
        <v>193</v>
      </c>
    </row>
    <row r="195" spans="1:3" x14ac:dyDescent="0.25">
      <c r="A195" s="1">
        <v>39093</v>
      </c>
      <c r="B195">
        <v>41.934204389999998</v>
      </c>
      <c r="C195">
        <v>194</v>
      </c>
    </row>
    <row r="196" spans="1:3" x14ac:dyDescent="0.25">
      <c r="A196" s="1">
        <v>39094</v>
      </c>
      <c r="B196">
        <v>41.495498689999998</v>
      </c>
      <c r="C196">
        <v>195</v>
      </c>
    </row>
    <row r="197" spans="1:3" x14ac:dyDescent="0.25">
      <c r="A197" s="1">
        <v>39095</v>
      </c>
      <c r="B197">
        <v>41.059433069999997</v>
      </c>
      <c r="C197">
        <v>196</v>
      </c>
    </row>
    <row r="198" spans="1:3" x14ac:dyDescent="0.25">
      <c r="A198" s="1">
        <v>39096</v>
      </c>
      <c r="B198">
        <v>40.62600346</v>
      </c>
      <c r="C198">
        <v>197</v>
      </c>
    </row>
    <row r="199" spans="1:3" x14ac:dyDescent="0.25">
      <c r="A199" s="1">
        <v>39097</v>
      </c>
      <c r="B199">
        <v>40.195205819999998</v>
      </c>
      <c r="C199">
        <v>198</v>
      </c>
    </row>
    <row r="200" spans="1:3" x14ac:dyDescent="0.25">
      <c r="A200" s="1">
        <v>39098</v>
      </c>
      <c r="B200">
        <v>39.767036060000002</v>
      </c>
      <c r="C200">
        <v>199</v>
      </c>
    </row>
    <row r="201" spans="1:3" x14ac:dyDescent="0.25">
      <c r="A201" s="1">
        <v>39099</v>
      </c>
      <c r="B201">
        <v>39.767036060000002</v>
      </c>
      <c r="C201">
        <v>200</v>
      </c>
    </row>
    <row r="202" spans="1:3" x14ac:dyDescent="0.25">
      <c r="A202" s="1">
        <v>39100</v>
      </c>
      <c r="B202">
        <v>38.080553979999998</v>
      </c>
      <c r="C202">
        <v>201</v>
      </c>
    </row>
    <row r="203" spans="1:3" x14ac:dyDescent="0.25">
      <c r="A203" s="1">
        <v>39101</v>
      </c>
      <c r="B203">
        <v>34.438090500000001</v>
      </c>
      <c r="C203">
        <v>202</v>
      </c>
    </row>
    <row r="204" spans="1:3" x14ac:dyDescent="0.25">
      <c r="A204" s="1">
        <v>39102</v>
      </c>
      <c r="B204">
        <v>34.046276339999999</v>
      </c>
      <c r="C204">
        <v>203</v>
      </c>
    </row>
    <row r="205" spans="1:3" x14ac:dyDescent="0.25">
      <c r="A205" s="1">
        <v>39103</v>
      </c>
      <c r="B205">
        <v>34.046276339999999</v>
      </c>
      <c r="C205">
        <v>204</v>
      </c>
    </row>
    <row r="206" spans="1:3" x14ac:dyDescent="0.25">
      <c r="A206" s="1">
        <v>39104</v>
      </c>
      <c r="B206">
        <v>33.65702744</v>
      </c>
      <c r="C206">
        <v>205</v>
      </c>
    </row>
    <row r="207" spans="1:3" x14ac:dyDescent="0.25">
      <c r="A207" s="1">
        <v>39105</v>
      </c>
      <c r="B207">
        <v>32.886208240000002</v>
      </c>
      <c r="C207">
        <v>206</v>
      </c>
    </row>
    <row r="208" spans="1:3" x14ac:dyDescent="0.25">
      <c r="A208" s="1">
        <v>39106</v>
      </c>
      <c r="B208">
        <v>34.046276339999999</v>
      </c>
      <c r="C208">
        <v>207</v>
      </c>
    </row>
    <row r="209" spans="1:3" x14ac:dyDescent="0.25">
      <c r="A209" s="1">
        <v>39107</v>
      </c>
      <c r="B209">
        <v>32.886208240000002</v>
      </c>
      <c r="C209">
        <v>208</v>
      </c>
    </row>
    <row r="210" spans="1:3" x14ac:dyDescent="0.25">
      <c r="A210" s="1">
        <v>39108</v>
      </c>
      <c r="B210">
        <v>32.886208240000002</v>
      </c>
      <c r="C210">
        <v>209</v>
      </c>
    </row>
    <row r="211" spans="1:3" x14ac:dyDescent="0.25">
      <c r="A211" s="1">
        <v>39109</v>
      </c>
      <c r="B211">
        <v>32.12559847</v>
      </c>
      <c r="C211">
        <v>210</v>
      </c>
    </row>
    <row r="212" spans="1:3" x14ac:dyDescent="0.25">
      <c r="A212" s="1">
        <v>39110</v>
      </c>
      <c r="B212">
        <v>32.12559847</v>
      </c>
      <c r="C212">
        <v>211</v>
      </c>
    </row>
    <row r="213" spans="1:3" x14ac:dyDescent="0.25">
      <c r="A213" s="1">
        <v>39111</v>
      </c>
      <c r="B213">
        <v>31.003750629999999</v>
      </c>
      <c r="C213">
        <v>212</v>
      </c>
    </row>
    <row r="214" spans="1:3" x14ac:dyDescent="0.25">
      <c r="A214" s="1">
        <v>39112</v>
      </c>
      <c r="B214">
        <v>31.003750629999999</v>
      </c>
      <c r="C214">
        <v>213</v>
      </c>
    </row>
    <row r="215" spans="1:3" x14ac:dyDescent="0.25">
      <c r="A215" s="1">
        <v>39113</v>
      </c>
      <c r="B215">
        <v>30.268512319999999</v>
      </c>
      <c r="C215">
        <v>214</v>
      </c>
    </row>
    <row r="216" spans="1:3" x14ac:dyDescent="0.25">
      <c r="A216" s="1">
        <v>39114</v>
      </c>
      <c r="B216">
        <v>29.904678050000001</v>
      </c>
      <c r="C216">
        <v>215</v>
      </c>
    </row>
    <row r="217" spans="1:3" x14ac:dyDescent="0.25">
      <c r="A217" s="1">
        <v>39115</v>
      </c>
      <c r="B217">
        <v>29.543361130000001</v>
      </c>
      <c r="C217">
        <v>216</v>
      </c>
    </row>
    <row r="218" spans="1:3" x14ac:dyDescent="0.25">
      <c r="A218" s="1">
        <v>39116</v>
      </c>
      <c r="B218">
        <v>29.184557130000002</v>
      </c>
      <c r="C218">
        <v>217</v>
      </c>
    </row>
    <row r="219" spans="1:3" x14ac:dyDescent="0.25">
      <c r="A219" s="1">
        <v>39117</v>
      </c>
      <c r="B219">
        <v>28.47447004</v>
      </c>
      <c r="C219">
        <v>218</v>
      </c>
    </row>
    <row r="220" spans="1:3" x14ac:dyDescent="0.25">
      <c r="A220" s="1">
        <v>39118</v>
      </c>
      <c r="B220">
        <v>28.123177980000001</v>
      </c>
      <c r="C220">
        <v>219</v>
      </c>
    </row>
    <row r="221" spans="1:3" x14ac:dyDescent="0.25">
      <c r="A221" s="1">
        <v>39119</v>
      </c>
      <c r="B221">
        <v>27.42807432</v>
      </c>
      <c r="C221">
        <v>220</v>
      </c>
    </row>
    <row r="222" spans="1:3" x14ac:dyDescent="0.25">
      <c r="A222" s="1">
        <v>39120</v>
      </c>
      <c r="B222">
        <v>27.084253660000002</v>
      </c>
      <c r="C222">
        <v>221</v>
      </c>
    </row>
    <row r="223" spans="1:3" x14ac:dyDescent="0.25">
      <c r="A223" s="1">
        <v>39121</v>
      </c>
      <c r="B223">
        <v>26.742914379999998</v>
      </c>
      <c r="C223">
        <v>222</v>
      </c>
    </row>
    <row r="224" spans="1:3" x14ac:dyDescent="0.25">
      <c r="A224" s="1">
        <v>39122</v>
      </c>
      <c r="B224">
        <v>26.742914379999998</v>
      </c>
      <c r="C224">
        <v>223</v>
      </c>
    </row>
    <row r="225" spans="1:3" x14ac:dyDescent="0.25">
      <c r="A225" s="1">
        <v>39123</v>
      </c>
      <c r="B225">
        <v>27.084253660000002</v>
      </c>
      <c r="C225">
        <v>224</v>
      </c>
    </row>
    <row r="226" spans="1:3" x14ac:dyDescent="0.25">
      <c r="A226" s="1">
        <v>39124</v>
      </c>
      <c r="B226">
        <v>26.742914379999998</v>
      </c>
      <c r="C226">
        <v>225</v>
      </c>
    </row>
    <row r="227" spans="1:3" x14ac:dyDescent="0.25">
      <c r="A227" s="1">
        <v>39125</v>
      </c>
      <c r="B227">
        <v>26.742914379999998</v>
      </c>
      <c r="C227">
        <v>226</v>
      </c>
    </row>
    <row r="228" spans="1:3" x14ac:dyDescent="0.25">
      <c r="A228" s="1">
        <v>39126</v>
      </c>
      <c r="B228">
        <v>27.42807432</v>
      </c>
      <c r="C228">
        <v>227</v>
      </c>
    </row>
    <row r="229" spans="1:3" x14ac:dyDescent="0.25">
      <c r="A229" s="1">
        <v>39127</v>
      </c>
      <c r="B229">
        <v>26.404051920000001</v>
      </c>
      <c r="C229">
        <v>228</v>
      </c>
    </row>
    <row r="230" spans="1:3" x14ac:dyDescent="0.25">
      <c r="A230" s="1">
        <v>39128</v>
      </c>
      <c r="B230">
        <v>25.733739079999999</v>
      </c>
      <c r="C230">
        <v>229</v>
      </c>
    </row>
    <row r="231" spans="1:3" x14ac:dyDescent="0.25">
      <c r="A231" s="1">
        <v>39129</v>
      </c>
      <c r="B231">
        <v>25.402279490000002</v>
      </c>
      <c r="C231">
        <v>230</v>
      </c>
    </row>
    <row r="232" spans="1:3" x14ac:dyDescent="0.25">
      <c r="A232" s="1">
        <v>39130</v>
      </c>
      <c r="B232">
        <v>25.402279490000002</v>
      </c>
      <c r="C232">
        <v>231</v>
      </c>
    </row>
    <row r="233" spans="1:3" x14ac:dyDescent="0.25">
      <c r="A233" s="1">
        <v>39131</v>
      </c>
      <c r="B233">
        <v>24.746730769999999</v>
      </c>
      <c r="C233">
        <v>232</v>
      </c>
    </row>
    <row r="234" spans="1:3" x14ac:dyDescent="0.25">
      <c r="A234" s="1">
        <v>39132</v>
      </c>
      <c r="B234">
        <v>24.422632329999999</v>
      </c>
      <c r="C234">
        <v>233</v>
      </c>
    </row>
    <row r="235" spans="1:3" x14ac:dyDescent="0.25">
      <c r="A235" s="1">
        <v>39133</v>
      </c>
      <c r="B235">
        <v>25.073278269999999</v>
      </c>
      <c r="C235">
        <v>234</v>
      </c>
    </row>
    <row r="236" spans="1:3" x14ac:dyDescent="0.25">
      <c r="A236" s="1">
        <v>39134</v>
      </c>
      <c r="B236">
        <v>32.50462933</v>
      </c>
      <c r="C236">
        <v>235</v>
      </c>
    </row>
    <row r="237" spans="1:3" x14ac:dyDescent="0.25">
      <c r="A237" s="1">
        <v>39135</v>
      </c>
      <c r="B237">
        <v>35.22943162</v>
      </c>
      <c r="C237">
        <v>236</v>
      </c>
    </row>
    <row r="238" spans="1:3" x14ac:dyDescent="0.25">
      <c r="A238" s="1">
        <v>39136</v>
      </c>
      <c r="B238">
        <v>37.66546211</v>
      </c>
      <c r="C238">
        <v>237</v>
      </c>
    </row>
    <row r="239" spans="1:3" x14ac:dyDescent="0.25">
      <c r="A239" s="1">
        <v>39137</v>
      </c>
      <c r="B239">
        <v>38.498253179999999</v>
      </c>
      <c r="C239">
        <v>238</v>
      </c>
    </row>
    <row r="240" spans="1:3" x14ac:dyDescent="0.25">
      <c r="A240" s="1">
        <v>39138</v>
      </c>
      <c r="B240">
        <v>36.843083759999999</v>
      </c>
      <c r="C240">
        <v>239</v>
      </c>
    </row>
    <row r="241" spans="1:3" x14ac:dyDescent="0.25">
      <c r="A241" s="1">
        <v>39139</v>
      </c>
      <c r="B241">
        <v>35.22943162</v>
      </c>
      <c r="C241">
        <v>240</v>
      </c>
    </row>
    <row r="242" spans="1:3" x14ac:dyDescent="0.25">
      <c r="A242" s="1">
        <v>39140</v>
      </c>
      <c r="B242">
        <v>32.886208240000002</v>
      </c>
      <c r="C242">
        <v>241</v>
      </c>
    </row>
    <row r="243" spans="1:3" x14ac:dyDescent="0.25">
      <c r="A243" s="1">
        <v>39141</v>
      </c>
      <c r="B243">
        <v>32.12559847</v>
      </c>
      <c r="C243">
        <v>242</v>
      </c>
    </row>
    <row r="244" spans="1:3" x14ac:dyDescent="0.25">
      <c r="A244" s="1">
        <v>39142</v>
      </c>
      <c r="B244">
        <v>31.37516347</v>
      </c>
      <c r="C244">
        <v>243</v>
      </c>
    </row>
    <row r="245" spans="1:3" x14ac:dyDescent="0.25">
      <c r="A245" s="1">
        <v>39143</v>
      </c>
      <c r="B245">
        <v>30.63486837</v>
      </c>
      <c r="C245">
        <v>244</v>
      </c>
    </row>
    <row r="246" spans="1:3" x14ac:dyDescent="0.25">
      <c r="A246" s="1">
        <v>39144</v>
      </c>
      <c r="B246">
        <v>29.904678050000001</v>
      </c>
      <c r="C246">
        <v>245</v>
      </c>
    </row>
    <row r="247" spans="1:3" x14ac:dyDescent="0.25">
      <c r="A247" s="1">
        <v>39145</v>
      </c>
      <c r="B247">
        <v>29.184557130000002</v>
      </c>
      <c r="C247">
        <v>246</v>
      </c>
    </row>
    <row r="248" spans="1:3" x14ac:dyDescent="0.25">
      <c r="A248" s="1">
        <v>39146</v>
      </c>
      <c r="B248">
        <v>28.82826159</v>
      </c>
      <c r="C248">
        <v>247</v>
      </c>
    </row>
    <row r="249" spans="1:3" x14ac:dyDescent="0.25">
      <c r="A249" s="1">
        <v>39147</v>
      </c>
      <c r="B249">
        <v>27.774380910000001</v>
      </c>
      <c r="C249">
        <v>248</v>
      </c>
    </row>
    <row r="250" spans="1:3" x14ac:dyDescent="0.25">
      <c r="A250" s="1">
        <v>39148</v>
      </c>
      <c r="B250">
        <v>27.774380910000001</v>
      </c>
      <c r="C250">
        <v>249</v>
      </c>
    </row>
    <row r="251" spans="1:3" x14ac:dyDescent="0.25">
      <c r="A251" s="1">
        <v>39149</v>
      </c>
      <c r="B251">
        <v>27.42807432</v>
      </c>
      <c r="C251">
        <v>250</v>
      </c>
    </row>
    <row r="252" spans="1:3" x14ac:dyDescent="0.25">
      <c r="A252" s="1">
        <v>39150</v>
      </c>
      <c r="B252">
        <v>27.084253660000002</v>
      </c>
      <c r="C252">
        <v>251</v>
      </c>
    </row>
    <row r="253" spans="1:3" x14ac:dyDescent="0.25">
      <c r="A253" s="1">
        <v>39151</v>
      </c>
      <c r="B253">
        <v>26.742914379999998</v>
      </c>
      <c r="C253">
        <v>252</v>
      </c>
    </row>
    <row r="254" spans="1:3" x14ac:dyDescent="0.25">
      <c r="A254" s="1">
        <v>39152</v>
      </c>
      <c r="B254">
        <v>26.067661690000001</v>
      </c>
      <c r="C254">
        <v>253</v>
      </c>
    </row>
    <row r="255" spans="1:3" x14ac:dyDescent="0.25">
      <c r="A255" s="1">
        <v>39153</v>
      </c>
      <c r="B255">
        <v>25.733739079999999</v>
      </c>
      <c r="C255">
        <v>254</v>
      </c>
    </row>
    <row r="256" spans="1:3" x14ac:dyDescent="0.25">
      <c r="A256" s="1">
        <v>39154</v>
      </c>
      <c r="B256">
        <v>26.067661690000001</v>
      </c>
      <c r="C256">
        <v>255</v>
      </c>
    </row>
    <row r="257" spans="1:3" x14ac:dyDescent="0.25">
      <c r="A257" s="1">
        <v>39155</v>
      </c>
      <c r="B257">
        <v>25.733739079999999</v>
      </c>
      <c r="C257">
        <v>256</v>
      </c>
    </row>
    <row r="258" spans="1:3" x14ac:dyDescent="0.25">
      <c r="A258" s="1">
        <v>39156</v>
      </c>
      <c r="B258">
        <v>25.402279490000002</v>
      </c>
      <c r="C258">
        <v>257</v>
      </c>
    </row>
    <row r="259" spans="1:3" x14ac:dyDescent="0.25">
      <c r="A259" s="1">
        <v>39157</v>
      </c>
      <c r="B259">
        <v>24.746730769999999</v>
      </c>
      <c r="C259">
        <v>258</v>
      </c>
    </row>
    <row r="260" spans="1:3" x14ac:dyDescent="0.25">
      <c r="A260" s="1">
        <v>39158</v>
      </c>
      <c r="B260">
        <v>24.746730769999999</v>
      </c>
      <c r="C260">
        <v>259</v>
      </c>
    </row>
    <row r="261" spans="1:3" x14ac:dyDescent="0.25">
      <c r="A261" s="1">
        <v>39159</v>
      </c>
      <c r="B261">
        <v>24.422632329999999</v>
      </c>
      <c r="C261">
        <v>260</v>
      </c>
    </row>
    <row r="262" spans="1:3" x14ac:dyDescent="0.25">
      <c r="A262" s="1">
        <v>39160</v>
      </c>
      <c r="B262">
        <v>24.422632329999999</v>
      </c>
      <c r="C262">
        <v>261</v>
      </c>
    </row>
    <row r="263" spans="1:3" x14ac:dyDescent="0.25">
      <c r="A263" s="1">
        <v>39161</v>
      </c>
      <c r="B263">
        <v>24.100978250000001</v>
      </c>
      <c r="C263">
        <v>262</v>
      </c>
    </row>
    <row r="264" spans="1:3" x14ac:dyDescent="0.25">
      <c r="A264" s="1">
        <v>39162</v>
      </c>
      <c r="B264">
        <v>24.100978250000001</v>
      </c>
      <c r="C264">
        <v>263</v>
      </c>
    </row>
    <row r="265" spans="1:3" x14ac:dyDescent="0.25">
      <c r="A265" s="1">
        <v>39163</v>
      </c>
      <c r="B265">
        <v>23.781763829999999</v>
      </c>
      <c r="C265">
        <v>264</v>
      </c>
    </row>
    <row r="266" spans="1:3" x14ac:dyDescent="0.25">
      <c r="A266" s="1">
        <v>39164</v>
      </c>
      <c r="B266">
        <v>24.100978250000001</v>
      </c>
      <c r="C266">
        <v>265</v>
      </c>
    </row>
    <row r="267" spans="1:3" x14ac:dyDescent="0.25">
      <c r="A267" s="1">
        <v>39165</v>
      </c>
      <c r="B267">
        <v>24.100978250000001</v>
      </c>
      <c r="C267">
        <v>266</v>
      </c>
    </row>
    <row r="268" spans="1:3" x14ac:dyDescent="0.25">
      <c r="A268" s="1">
        <v>39166</v>
      </c>
      <c r="B268">
        <v>24.422632329999999</v>
      </c>
      <c r="C268">
        <v>267</v>
      </c>
    </row>
    <row r="269" spans="1:3" x14ac:dyDescent="0.25">
      <c r="A269" s="1">
        <v>39167</v>
      </c>
      <c r="B269">
        <v>24.100978250000001</v>
      </c>
      <c r="C269">
        <v>268</v>
      </c>
    </row>
    <row r="270" spans="1:3" x14ac:dyDescent="0.25">
      <c r="A270" s="1">
        <v>39168</v>
      </c>
      <c r="B270">
        <v>24.100978250000001</v>
      </c>
      <c r="C270">
        <v>269</v>
      </c>
    </row>
    <row r="271" spans="1:3" x14ac:dyDescent="0.25">
      <c r="A271" s="1">
        <v>39169</v>
      </c>
      <c r="B271">
        <v>24.746730769999999</v>
      </c>
      <c r="C271">
        <v>270</v>
      </c>
    </row>
    <row r="272" spans="1:3" x14ac:dyDescent="0.25">
      <c r="A272" s="1">
        <v>39170</v>
      </c>
      <c r="B272">
        <v>25.073278269999999</v>
      </c>
      <c r="C272">
        <v>271</v>
      </c>
    </row>
    <row r="273" spans="1:3" x14ac:dyDescent="0.25">
      <c r="A273" s="1">
        <v>39171</v>
      </c>
      <c r="B273">
        <v>24.746730769999999</v>
      </c>
      <c r="C273">
        <v>272</v>
      </c>
    </row>
    <row r="274" spans="1:3" x14ac:dyDescent="0.25">
      <c r="A274" s="1">
        <v>39172</v>
      </c>
      <c r="B274">
        <v>25.402279490000002</v>
      </c>
      <c r="C274">
        <v>273</v>
      </c>
    </row>
    <row r="275" spans="1:3" x14ac:dyDescent="0.25">
      <c r="A275" s="1">
        <v>39173</v>
      </c>
      <c r="B275">
        <v>27.084253660000002</v>
      </c>
      <c r="C275">
        <v>274</v>
      </c>
    </row>
    <row r="276" spans="1:3" x14ac:dyDescent="0.25">
      <c r="A276" s="1">
        <v>39174</v>
      </c>
      <c r="B276">
        <v>28.123177980000001</v>
      </c>
      <c r="C276">
        <v>275</v>
      </c>
    </row>
    <row r="277" spans="1:3" x14ac:dyDescent="0.25">
      <c r="A277" s="1">
        <v>39175</v>
      </c>
      <c r="B277">
        <v>27.42807432</v>
      </c>
      <c r="C277">
        <v>276</v>
      </c>
    </row>
    <row r="278" spans="1:3" x14ac:dyDescent="0.25">
      <c r="A278" s="1">
        <v>39176</v>
      </c>
      <c r="B278">
        <v>26.742914379999998</v>
      </c>
      <c r="C278">
        <v>277</v>
      </c>
    </row>
    <row r="279" spans="1:3" x14ac:dyDescent="0.25">
      <c r="A279" s="1">
        <v>39177</v>
      </c>
      <c r="B279">
        <v>26.067661690000001</v>
      </c>
      <c r="C279">
        <v>278</v>
      </c>
    </row>
    <row r="280" spans="1:3" x14ac:dyDescent="0.25">
      <c r="A280" s="1">
        <v>39178</v>
      </c>
      <c r="B280">
        <v>26.067661690000001</v>
      </c>
      <c r="C280">
        <v>279</v>
      </c>
    </row>
    <row r="281" spans="1:3" x14ac:dyDescent="0.25">
      <c r="A281" s="1">
        <v>39179</v>
      </c>
      <c r="B281">
        <v>25.402279490000002</v>
      </c>
      <c r="C281">
        <v>280</v>
      </c>
    </row>
    <row r="282" spans="1:3" x14ac:dyDescent="0.25">
      <c r="A282" s="1">
        <v>39180</v>
      </c>
      <c r="B282">
        <v>25.073278269999999</v>
      </c>
      <c r="C282">
        <v>281</v>
      </c>
    </row>
    <row r="283" spans="1:3" x14ac:dyDescent="0.25">
      <c r="A283" s="1">
        <v>39181</v>
      </c>
      <c r="B283">
        <v>26.067661690000001</v>
      </c>
      <c r="C283">
        <v>282</v>
      </c>
    </row>
    <row r="284" spans="1:3" x14ac:dyDescent="0.25">
      <c r="A284" s="1">
        <v>39182</v>
      </c>
      <c r="B284">
        <v>28.82826159</v>
      </c>
      <c r="C284">
        <v>283</v>
      </c>
    </row>
    <row r="285" spans="1:3" x14ac:dyDescent="0.25">
      <c r="A285" s="1">
        <v>39183</v>
      </c>
      <c r="B285">
        <v>26.067661690000001</v>
      </c>
      <c r="C285">
        <v>284</v>
      </c>
    </row>
    <row r="286" spans="1:3" x14ac:dyDescent="0.25">
      <c r="A286" s="1">
        <v>39184</v>
      </c>
      <c r="B286">
        <v>26.067661690000001</v>
      </c>
      <c r="C286">
        <v>285</v>
      </c>
    </row>
    <row r="287" spans="1:3" x14ac:dyDescent="0.25">
      <c r="A287" s="1">
        <v>39185</v>
      </c>
      <c r="B287">
        <v>27.42807432</v>
      </c>
      <c r="C287">
        <v>286</v>
      </c>
    </row>
    <row r="288" spans="1:3" x14ac:dyDescent="0.25">
      <c r="A288" s="1">
        <v>39186</v>
      </c>
      <c r="B288">
        <v>27.42807432</v>
      </c>
      <c r="C288">
        <v>287</v>
      </c>
    </row>
    <row r="289" spans="1:3" x14ac:dyDescent="0.25">
      <c r="A289" s="1">
        <v>39187</v>
      </c>
      <c r="B289">
        <v>27.774380910000001</v>
      </c>
      <c r="C289">
        <v>288</v>
      </c>
    </row>
    <row r="290" spans="1:3" x14ac:dyDescent="0.25">
      <c r="A290" s="1">
        <v>39188</v>
      </c>
      <c r="B290">
        <v>26.742914379999998</v>
      </c>
      <c r="C290">
        <v>289</v>
      </c>
    </row>
    <row r="291" spans="1:3" x14ac:dyDescent="0.25">
      <c r="A291" s="1">
        <v>39189</v>
      </c>
      <c r="B291">
        <v>27.42807432</v>
      </c>
      <c r="C291">
        <v>290</v>
      </c>
    </row>
    <row r="292" spans="1:3" x14ac:dyDescent="0.25">
      <c r="A292" s="1">
        <v>39190</v>
      </c>
      <c r="B292">
        <v>26.404051920000001</v>
      </c>
      <c r="C292">
        <v>291</v>
      </c>
    </row>
    <row r="293" spans="1:3" x14ac:dyDescent="0.25">
      <c r="A293" s="1">
        <v>39191</v>
      </c>
      <c r="B293">
        <v>24.746730769999999</v>
      </c>
      <c r="C293">
        <v>292</v>
      </c>
    </row>
    <row r="294" spans="1:3" x14ac:dyDescent="0.25">
      <c r="A294" s="1">
        <v>39192</v>
      </c>
      <c r="B294">
        <v>24.746730769999999</v>
      </c>
      <c r="C294">
        <v>293</v>
      </c>
    </row>
    <row r="295" spans="1:3" x14ac:dyDescent="0.25">
      <c r="A295" s="1">
        <v>39193</v>
      </c>
      <c r="B295">
        <v>24.100978250000001</v>
      </c>
      <c r="C295">
        <v>294</v>
      </c>
    </row>
    <row r="296" spans="1:3" x14ac:dyDescent="0.25">
      <c r="A296" s="1">
        <v>39194</v>
      </c>
      <c r="B296">
        <v>23.781763829999999</v>
      </c>
      <c r="C296">
        <v>295</v>
      </c>
    </row>
    <row r="297" spans="1:3" x14ac:dyDescent="0.25">
      <c r="A297" s="1">
        <v>39195</v>
      </c>
      <c r="B297">
        <v>23.781763829999999</v>
      </c>
      <c r="C297">
        <v>296</v>
      </c>
    </row>
    <row r="298" spans="1:3" x14ac:dyDescent="0.25">
      <c r="A298" s="1">
        <v>39196</v>
      </c>
      <c r="B298">
        <v>23.150635080000001</v>
      </c>
      <c r="C298">
        <v>297</v>
      </c>
    </row>
    <row r="299" spans="1:3" x14ac:dyDescent="0.25">
      <c r="A299" s="1">
        <v>39197</v>
      </c>
      <c r="B299">
        <v>22.529208090000001</v>
      </c>
      <c r="C299">
        <v>298</v>
      </c>
    </row>
    <row r="300" spans="1:3" x14ac:dyDescent="0.25">
      <c r="A300" s="1">
        <v>39198</v>
      </c>
      <c r="B300">
        <v>21.315305939999998</v>
      </c>
      <c r="C300">
        <v>299</v>
      </c>
    </row>
    <row r="301" spans="1:3" x14ac:dyDescent="0.25">
      <c r="A301" s="1">
        <v>39199</v>
      </c>
      <c r="B301">
        <v>21.017833830000001</v>
      </c>
      <c r="C301">
        <v>300</v>
      </c>
    </row>
    <row r="302" spans="1:3" x14ac:dyDescent="0.25">
      <c r="A302" s="1">
        <v>39200</v>
      </c>
      <c r="B302">
        <v>21.017833830000001</v>
      </c>
      <c r="C302">
        <v>301</v>
      </c>
    </row>
    <row r="303" spans="1:3" x14ac:dyDescent="0.25">
      <c r="A303" s="1">
        <v>39201</v>
      </c>
      <c r="B303">
        <v>21.615174570000001</v>
      </c>
      <c r="C303">
        <v>302</v>
      </c>
    </row>
    <row r="304" spans="1:3" x14ac:dyDescent="0.25">
      <c r="A304" s="1">
        <v>39202</v>
      </c>
      <c r="B304">
        <v>22.222120799999999</v>
      </c>
      <c r="C304">
        <v>303</v>
      </c>
    </row>
    <row r="305" spans="1:3" x14ac:dyDescent="0.25">
      <c r="A305" s="1">
        <v>39203</v>
      </c>
      <c r="B305">
        <v>26.404051920000001</v>
      </c>
      <c r="C305">
        <v>304</v>
      </c>
    </row>
    <row r="306" spans="1:3" x14ac:dyDescent="0.25">
      <c r="A306" s="1">
        <v>39204</v>
      </c>
      <c r="B306">
        <v>32.886208240000002</v>
      </c>
      <c r="C306">
        <v>305</v>
      </c>
    </row>
    <row r="307" spans="1:3" x14ac:dyDescent="0.25">
      <c r="A307" s="1">
        <v>39205</v>
      </c>
      <c r="B307">
        <v>29.184557130000002</v>
      </c>
      <c r="C307">
        <v>306</v>
      </c>
    </row>
    <row r="308" spans="1:3" x14ac:dyDescent="0.25">
      <c r="A308" s="1">
        <v>39206</v>
      </c>
      <c r="B308">
        <v>28.47447004</v>
      </c>
      <c r="C308">
        <v>307</v>
      </c>
    </row>
    <row r="309" spans="1:3" x14ac:dyDescent="0.25">
      <c r="A309" s="1">
        <v>39207</v>
      </c>
      <c r="B309">
        <v>28.123177980000001</v>
      </c>
      <c r="C309">
        <v>308</v>
      </c>
    </row>
    <row r="310" spans="1:3" x14ac:dyDescent="0.25">
      <c r="A310" s="1">
        <v>39208</v>
      </c>
      <c r="B310">
        <v>25.733739079999999</v>
      </c>
      <c r="C310">
        <v>309</v>
      </c>
    </row>
    <row r="311" spans="1:3" x14ac:dyDescent="0.25">
      <c r="A311" s="1">
        <v>39209</v>
      </c>
      <c r="B311">
        <v>25.402279490000002</v>
      </c>
      <c r="C311">
        <v>310</v>
      </c>
    </row>
    <row r="312" spans="1:3" x14ac:dyDescent="0.25">
      <c r="A312" s="1">
        <v>39210</v>
      </c>
      <c r="B312">
        <v>25.073278269999999</v>
      </c>
      <c r="C312">
        <v>311</v>
      </c>
    </row>
    <row r="313" spans="1:3" x14ac:dyDescent="0.25">
      <c r="A313" s="1">
        <v>39211</v>
      </c>
      <c r="B313">
        <v>22.838711249999999</v>
      </c>
      <c r="C313">
        <v>312</v>
      </c>
    </row>
    <row r="314" spans="1:3" x14ac:dyDescent="0.25">
      <c r="A314" s="1">
        <v>39212</v>
      </c>
      <c r="B314">
        <v>23.464984359999999</v>
      </c>
      <c r="C314">
        <v>313</v>
      </c>
    </row>
    <row r="315" spans="1:3" x14ac:dyDescent="0.25">
      <c r="A315" s="1">
        <v>39213</v>
      </c>
      <c r="B315">
        <v>28.47447004</v>
      </c>
      <c r="C315">
        <v>314</v>
      </c>
    </row>
    <row r="316" spans="1:3" x14ac:dyDescent="0.25">
      <c r="A316" s="1">
        <v>39214</v>
      </c>
      <c r="B316">
        <v>28.47447004</v>
      </c>
      <c r="C316">
        <v>315</v>
      </c>
    </row>
    <row r="317" spans="1:3" x14ac:dyDescent="0.25">
      <c r="A317" s="1">
        <v>39215</v>
      </c>
      <c r="B317">
        <v>28.123177980000001</v>
      </c>
      <c r="C317">
        <v>316</v>
      </c>
    </row>
    <row r="318" spans="1:3" x14ac:dyDescent="0.25">
      <c r="A318" s="1">
        <v>39216</v>
      </c>
      <c r="B318">
        <v>28.47447004</v>
      </c>
      <c r="C318">
        <v>317</v>
      </c>
    </row>
    <row r="319" spans="1:3" x14ac:dyDescent="0.25">
      <c r="A319" s="1">
        <v>39217</v>
      </c>
      <c r="B319">
        <v>26.067661690000001</v>
      </c>
      <c r="C319">
        <v>318</v>
      </c>
    </row>
    <row r="320" spans="1:3" x14ac:dyDescent="0.25">
      <c r="A320" s="1">
        <v>39218</v>
      </c>
      <c r="B320">
        <v>27.42807432</v>
      </c>
      <c r="C320">
        <v>319</v>
      </c>
    </row>
    <row r="321" spans="1:3" x14ac:dyDescent="0.25">
      <c r="A321" s="1">
        <v>39219</v>
      </c>
      <c r="B321">
        <v>28.123177980000001</v>
      </c>
      <c r="C321">
        <v>320</v>
      </c>
    </row>
    <row r="322" spans="1:3" x14ac:dyDescent="0.25">
      <c r="A322" s="1">
        <v>39220</v>
      </c>
      <c r="B322">
        <v>32.12559847</v>
      </c>
      <c r="C322">
        <v>321</v>
      </c>
    </row>
    <row r="323" spans="1:3" x14ac:dyDescent="0.25">
      <c r="A323" s="1">
        <v>39221</v>
      </c>
      <c r="B323">
        <v>33.270339499999999</v>
      </c>
      <c r="C323">
        <v>322</v>
      </c>
    </row>
    <row r="324" spans="1:3" x14ac:dyDescent="0.25">
      <c r="A324" s="1">
        <v>39222</v>
      </c>
      <c r="B324">
        <v>43.715508440000001</v>
      </c>
      <c r="C324">
        <v>323</v>
      </c>
    </row>
    <row r="325" spans="1:3" x14ac:dyDescent="0.25">
      <c r="A325" s="1">
        <v>39223</v>
      </c>
      <c r="B325">
        <v>56.865115420000002</v>
      </c>
      <c r="C325">
        <v>324</v>
      </c>
    </row>
    <row r="326" spans="1:3" x14ac:dyDescent="0.25">
      <c r="A326" s="1">
        <v>39224</v>
      </c>
      <c r="B326">
        <v>51.26886562</v>
      </c>
      <c r="C326">
        <v>325</v>
      </c>
    </row>
    <row r="327" spans="1:3" x14ac:dyDescent="0.25">
      <c r="A327" s="1">
        <v>39225</v>
      </c>
      <c r="B327">
        <v>45.07940387</v>
      </c>
      <c r="C327">
        <v>326</v>
      </c>
    </row>
    <row r="328" spans="1:3" x14ac:dyDescent="0.25">
      <c r="A328" s="1">
        <v>39226</v>
      </c>
      <c r="B328">
        <v>41.934204389999998</v>
      </c>
      <c r="C328">
        <v>327</v>
      </c>
    </row>
    <row r="329" spans="1:3" x14ac:dyDescent="0.25">
      <c r="A329" s="1">
        <v>39227</v>
      </c>
      <c r="B329">
        <v>41.495498689999998</v>
      </c>
      <c r="C329">
        <v>328</v>
      </c>
    </row>
    <row r="330" spans="1:3" x14ac:dyDescent="0.25">
      <c r="A330" s="1">
        <v>39228</v>
      </c>
      <c r="B330">
        <v>38.498253179999999</v>
      </c>
      <c r="C330">
        <v>329</v>
      </c>
    </row>
    <row r="331" spans="1:3" x14ac:dyDescent="0.25">
      <c r="A331" s="1">
        <v>39229</v>
      </c>
      <c r="B331">
        <v>36.03108478</v>
      </c>
      <c r="C331">
        <v>330</v>
      </c>
    </row>
    <row r="332" spans="1:3" x14ac:dyDescent="0.25">
      <c r="A332" s="1">
        <v>39230</v>
      </c>
      <c r="B332">
        <v>49.315803819999999</v>
      </c>
      <c r="C332">
        <v>331</v>
      </c>
    </row>
    <row r="333" spans="1:3" x14ac:dyDescent="0.25">
      <c r="A333" s="1">
        <v>39231</v>
      </c>
      <c r="B333">
        <v>62.242670400000002</v>
      </c>
      <c r="C333">
        <v>332</v>
      </c>
    </row>
    <row r="334" spans="1:3" x14ac:dyDescent="0.25">
      <c r="A334" s="1">
        <v>39232</v>
      </c>
      <c r="B334">
        <v>62.79576754</v>
      </c>
      <c r="C334">
        <v>333</v>
      </c>
    </row>
    <row r="335" spans="1:3" x14ac:dyDescent="0.25">
      <c r="A335" s="1">
        <v>39233</v>
      </c>
      <c r="B335">
        <v>61.692373539999998</v>
      </c>
      <c r="C335">
        <v>334</v>
      </c>
    </row>
    <row r="336" spans="1:3" x14ac:dyDescent="0.25">
      <c r="A336" s="1">
        <v>39234</v>
      </c>
      <c r="B336">
        <v>73.234426880000001</v>
      </c>
      <c r="C336">
        <v>335</v>
      </c>
    </row>
    <row r="337" spans="1:3" x14ac:dyDescent="0.25">
      <c r="A337" s="1">
        <v>39235</v>
      </c>
      <c r="B337">
        <v>91.325979399999994</v>
      </c>
      <c r="C337">
        <v>336</v>
      </c>
    </row>
    <row r="338" spans="1:3" x14ac:dyDescent="0.25">
      <c r="A338" s="1">
        <v>39236</v>
      </c>
      <c r="B338">
        <v>88.601041429999995</v>
      </c>
      <c r="C338">
        <v>337</v>
      </c>
    </row>
    <row r="339" spans="1:3" x14ac:dyDescent="0.25">
      <c r="A339" s="1">
        <v>39237</v>
      </c>
      <c r="B339">
        <v>81.994575060000003</v>
      </c>
      <c r="C339">
        <v>338</v>
      </c>
    </row>
    <row r="340" spans="1:3" x14ac:dyDescent="0.25">
      <c r="A340" s="1">
        <v>39238</v>
      </c>
      <c r="B340">
        <v>115.6329975</v>
      </c>
      <c r="C340">
        <v>339</v>
      </c>
    </row>
    <row r="341" spans="1:3" x14ac:dyDescent="0.25">
      <c r="A341" s="1">
        <v>39239</v>
      </c>
      <c r="B341">
        <v>101.2376587</v>
      </c>
      <c r="C341">
        <v>340</v>
      </c>
    </row>
    <row r="342" spans="1:3" x14ac:dyDescent="0.25">
      <c r="A342" s="1">
        <v>39240</v>
      </c>
      <c r="B342">
        <v>143.27611189999999</v>
      </c>
      <c r="C342">
        <v>341</v>
      </c>
    </row>
    <row r="343" spans="1:3" x14ac:dyDescent="0.25">
      <c r="A343" s="1">
        <v>39241</v>
      </c>
      <c r="B343">
        <v>129.4499481</v>
      </c>
      <c r="C343">
        <v>342</v>
      </c>
    </row>
    <row r="344" spans="1:3" x14ac:dyDescent="0.25">
      <c r="A344" s="1">
        <v>39242</v>
      </c>
      <c r="B344">
        <v>120.40769760000001</v>
      </c>
      <c r="C344">
        <v>343</v>
      </c>
    </row>
    <row r="345" spans="1:3" x14ac:dyDescent="0.25">
      <c r="A345" s="1">
        <v>39243</v>
      </c>
      <c r="B345">
        <v>101.2376587</v>
      </c>
      <c r="C345">
        <v>344</v>
      </c>
    </row>
    <row r="346" spans="1:3" x14ac:dyDescent="0.25">
      <c r="A346" s="1">
        <v>39244</v>
      </c>
      <c r="B346">
        <v>85.92326645</v>
      </c>
      <c r="C346">
        <v>345</v>
      </c>
    </row>
    <row r="347" spans="1:3" x14ac:dyDescent="0.25">
      <c r="A347" s="1">
        <v>39245</v>
      </c>
      <c r="B347">
        <v>113.2870518</v>
      </c>
      <c r="C347">
        <v>346</v>
      </c>
    </row>
    <row r="348" spans="1:3" x14ac:dyDescent="0.25">
      <c r="A348" s="1">
        <v>39246</v>
      </c>
      <c r="B348">
        <v>99.064435200000005</v>
      </c>
      <c r="C348">
        <v>347</v>
      </c>
    </row>
    <row r="349" spans="1:3" x14ac:dyDescent="0.25">
      <c r="A349" s="1">
        <v>39247</v>
      </c>
      <c r="B349">
        <v>102.7014959</v>
      </c>
      <c r="C349">
        <v>348</v>
      </c>
    </row>
    <row r="350" spans="1:3" x14ac:dyDescent="0.25">
      <c r="A350" s="1">
        <v>39248</v>
      </c>
      <c r="B350">
        <v>128.61241100000001</v>
      </c>
      <c r="C350">
        <v>349</v>
      </c>
    </row>
    <row r="351" spans="1:3" x14ac:dyDescent="0.25">
      <c r="A351" s="1">
        <v>39249</v>
      </c>
      <c r="B351">
        <v>130.2905997</v>
      </c>
      <c r="C351">
        <v>350</v>
      </c>
    </row>
    <row r="352" spans="1:3" x14ac:dyDescent="0.25">
      <c r="A352" s="1">
        <v>39250</v>
      </c>
      <c r="B352">
        <v>146.85862950000001</v>
      </c>
      <c r="C352">
        <v>351</v>
      </c>
    </row>
    <row r="353" spans="1:3" x14ac:dyDescent="0.25">
      <c r="A353" s="1">
        <v>39251</v>
      </c>
      <c r="B353">
        <v>161.69806170000001</v>
      </c>
      <c r="C353">
        <v>352</v>
      </c>
    </row>
    <row r="354" spans="1:3" x14ac:dyDescent="0.25">
      <c r="A354" s="1">
        <v>39252</v>
      </c>
      <c r="B354">
        <v>142.38839189999999</v>
      </c>
      <c r="C354">
        <v>353</v>
      </c>
    </row>
    <row r="355" spans="1:3" x14ac:dyDescent="0.25">
      <c r="A355" s="1">
        <v>39253</v>
      </c>
      <c r="B355">
        <v>158.8532802</v>
      </c>
      <c r="C355">
        <v>354</v>
      </c>
    </row>
    <row r="356" spans="1:3" x14ac:dyDescent="0.25">
      <c r="A356" s="1">
        <v>39254</v>
      </c>
      <c r="B356">
        <v>157.91144070000001</v>
      </c>
      <c r="C356">
        <v>355</v>
      </c>
    </row>
    <row r="357" spans="1:3" x14ac:dyDescent="0.25">
      <c r="A357" s="1">
        <v>39255</v>
      </c>
      <c r="B357">
        <v>169.4258926</v>
      </c>
      <c r="C357">
        <v>356</v>
      </c>
    </row>
    <row r="358" spans="1:3" x14ac:dyDescent="0.25">
      <c r="A358" s="1">
        <v>39256</v>
      </c>
      <c r="B358">
        <v>145.95824880000001</v>
      </c>
      <c r="C358">
        <v>357</v>
      </c>
    </row>
    <row r="359" spans="1:3" x14ac:dyDescent="0.25">
      <c r="A359" s="1">
        <v>39257</v>
      </c>
      <c r="B359">
        <v>166.50373970000001</v>
      </c>
      <c r="C359">
        <v>358</v>
      </c>
    </row>
    <row r="360" spans="1:3" x14ac:dyDescent="0.25">
      <c r="A360" s="1">
        <v>39258</v>
      </c>
      <c r="B360">
        <v>167.47455640000001</v>
      </c>
      <c r="C360">
        <v>359</v>
      </c>
    </row>
    <row r="361" spans="1:3" x14ac:dyDescent="0.25">
      <c r="A361" s="1">
        <v>39259</v>
      </c>
      <c r="B361">
        <v>168.44860639999999</v>
      </c>
      <c r="C361">
        <v>360</v>
      </c>
    </row>
    <row r="362" spans="1:3" x14ac:dyDescent="0.25">
      <c r="A362" s="1">
        <v>39260</v>
      </c>
      <c r="B362">
        <v>228.23821079999999</v>
      </c>
      <c r="C362">
        <v>361</v>
      </c>
    </row>
    <row r="363" spans="1:3" x14ac:dyDescent="0.25">
      <c r="A363" s="1">
        <v>39261</v>
      </c>
      <c r="B363">
        <v>191.75038989999999</v>
      </c>
      <c r="C363">
        <v>362</v>
      </c>
    </row>
    <row r="364" spans="1:3" x14ac:dyDescent="0.25">
      <c r="A364" s="1">
        <v>39262</v>
      </c>
      <c r="B364">
        <v>293.24238070000001</v>
      </c>
      <c r="C364">
        <v>363</v>
      </c>
    </row>
    <row r="365" spans="1:3" x14ac:dyDescent="0.25">
      <c r="A365" s="1">
        <v>39263</v>
      </c>
      <c r="B365">
        <v>234.08572899999999</v>
      </c>
      <c r="C365">
        <v>364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E33C-19D3-4221-B9F6-CBEF58A95A52}">
  <dimension ref="A1:B366"/>
  <sheetViews>
    <sheetView workbookViewId="0"/>
  </sheetViews>
  <sheetFormatPr defaultRowHeight="15" x14ac:dyDescent="0.25"/>
  <cols>
    <col min="1" max="1" width="7" customWidth="1"/>
    <col min="2" max="2" width="17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>
        <v>0</v>
      </c>
      <c r="B2" s="2">
        <f>raw!B1*1000000/24/3600</f>
        <v>1527.5608645833336</v>
      </c>
    </row>
    <row r="3" spans="1:2" x14ac:dyDescent="0.25">
      <c r="A3" s="3">
        <v>1</v>
      </c>
      <c r="B3" s="2">
        <f>raw!B2*1000000/24/3600</f>
        <v>1266.6458217592592</v>
      </c>
    </row>
    <row r="4" spans="1:2" x14ac:dyDescent="0.25">
      <c r="A4" s="3">
        <v>2</v>
      </c>
      <c r="B4" s="2">
        <f>raw!B3*1000000/24/3600</f>
        <v>1577.11362037037</v>
      </c>
    </row>
    <row r="5" spans="1:2" x14ac:dyDescent="0.25">
      <c r="A5" s="3">
        <v>3</v>
      </c>
      <c r="B5" s="2">
        <f>raw!B4*1000000/24/3600</f>
        <v>1567.1305659722225</v>
      </c>
    </row>
    <row r="6" spans="1:2" x14ac:dyDescent="0.25">
      <c r="A6" s="3">
        <v>4</v>
      </c>
      <c r="B6" s="2">
        <f>raw!B5*1000000/24/3600</f>
        <v>1320.2080416666668</v>
      </c>
    </row>
    <row r="7" spans="1:2" x14ac:dyDescent="0.25">
      <c r="A7" s="3">
        <v>5</v>
      </c>
      <c r="B7" s="2">
        <f>raw!B6*1000000/24/3600</f>
        <v>1567.1305659722225</v>
      </c>
    </row>
    <row r="8" spans="1:2" x14ac:dyDescent="0.25">
      <c r="A8" s="3">
        <v>6</v>
      </c>
      <c r="B8" s="2">
        <f>raw!B7*1000000/24/3600</f>
        <v>1577.11362037037</v>
      </c>
    </row>
    <row r="9" spans="1:2" x14ac:dyDescent="0.25">
      <c r="A9" s="3">
        <v>7</v>
      </c>
      <c r="B9" s="2">
        <f>raw!B8*1000000/24/3600</f>
        <v>2280.6217048611111</v>
      </c>
    </row>
    <row r="10" spans="1:2" x14ac:dyDescent="0.25">
      <c r="A10" s="3">
        <v>8</v>
      </c>
      <c r="B10" s="2">
        <f>raw!B9*1000000/24/3600</f>
        <v>2368.0357951388887</v>
      </c>
    </row>
    <row r="11" spans="1:2" x14ac:dyDescent="0.25">
      <c r="A11" s="3">
        <v>9</v>
      </c>
      <c r="B11" s="2">
        <f>raw!B10*1000000/24/3600</f>
        <v>3472.0754687499998</v>
      </c>
    </row>
    <row r="12" spans="1:2" x14ac:dyDescent="0.25">
      <c r="A12" s="3">
        <v>10</v>
      </c>
      <c r="B12" s="2">
        <f>raw!B11*1000000/24/3600</f>
        <v>2932.5185254629632</v>
      </c>
    </row>
    <row r="13" spans="1:2" x14ac:dyDescent="0.25">
      <c r="A13" s="3">
        <v>11</v>
      </c>
      <c r="B13" s="2">
        <f>raw!B12*1000000/24/3600</f>
        <v>2918.2720856481478</v>
      </c>
    </row>
    <row r="14" spans="1:2" x14ac:dyDescent="0.25">
      <c r="A14" s="3">
        <v>12</v>
      </c>
      <c r="B14" s="2">
        <f>raw!B13*1000000/24/3600</f>
        <v>3696.0893796296295</v>
      </c>
    </row>
    <row r="15" spans="1:2" x14ac:dyDescent="0.25">
      <c r="A15" s="3">
        <v>13</v>
      </c>
      <c r="B15" s="2">
        <f>raw!B14*1000000/24/3600</f>
        <v>4203.3386481481484</v>
      </c>
    </row>
    <row r="16" spans="1:2" x14ac:dyDescent="0.25">
      <c r="A16" s="3">
        <v>14</v>
      </c>
      <c r="B16" s="2">
        <f>raw!B15*1000000/24/3600</f>
        <v>4013.0075706018511</v>
      </c>
    </row>
    <row r="17" spans="1:2" x14ac:dyDescent="0.25">
      <c r="A17" s="3">
        <v>15</v>
      </c>
      <c r="B17" s="2">
        <f>raw!B16*1000000/24/3600</f>
        <v>3945.0459814814812</v>
      </c>
    </row>
    <row r="18" spans="1:2" x14ac:dyDescent="0.25">
      <c r="A18" s="3">
        <v>16</v>
      </c>
      <c r="B18" s="2">
        <f>raw!B17*1000000/24/3600</f>
        <v>4238.4877233796296</v>
      </c>
    </row>
    <row r="19" spans="1:2" x14ac:dyDescent="0.25">
      <c r="A19" s="3">
        <v>17</v>
      </c>
      <c r="B19" s="2">
        <f>raw!B18*1000000/24/3600</f>
        <v>3394.0090358796297</v>
      </c>
    </row>
    <row r="20" spans="1:2" x14ac:dyDescent="0.25">
      <c r="A20" s="3">
        <v>18</v>
      </c>
      <c r="B20" s="2">
        <f>raw!B19*1000000/24/3600</f>
        <v>2764.1762905092596</v>
      </c>
    </row>
    <row r="21" spans="1:2" x14ac:dyDescent="0.25">
      <c r="A21" s="3">
        <v>19</v>
      </c>
      <c r="B21" s="2">
        <f>raw!B20*1000000/24/3600</f>
        <v>3077.1734537037037</v>
      </c>
    </row>
    <row r="22" spans="1:2" x14ac:dyDescent="0.25">
      <c r="A22" s="3">
        <v>20</v>
      </c>
      <c r="B22" s="2">
        <f>raw!B21*1000000/24/3600</f>
        <v>3062.5283159722217</v>
      </c>
    </row>
    <row r="23" spans="1:2" x14ac:dyDescent="0.25">
      <c r="A23" s="3">
        <v>21</v>
      </c>
      <c r="B23" s="2">
        <f>raw!B22*1000000/24/3600</f>
        <v>3519.4038900462956</v>
      </c>
    </row>
    <row r="24" spans="1:2" x14ac:dyDescent="0.25">
      <c r="A24" s="3">
        <v>22</v>
      </c>
      <c r="B24" s="2">
        <f>raw!B23*1000000/24/3600</f>
        <v>3394.0090358796297</v>
      </c>
    </row>
    <row r="25" spans="1:2" x14ac:dyDescent="0.25">
      <c r="A25" s="3">
        <v>23</v>
      </c>
      <c r="B25" s="2">
        <f>raw!B24*1000000/24/3600</f>
        <v>3091.8586134259263</v>
      </c>
    </row>
    <row r="26" spans="1:2" x14ac:dyDescent="0.25">
      <c r="A26" s="3">
        <v>24</v>
      </c>
      <c r="B26" s="2">
        <f>raw!B25*1000000/24/3600</f>
        <v>3745.138016203704</v>
      </c>
    </row>
    <row r="27" spans="1:2" x14ac:dyDescent="0.25">
      <c r="A27" s="3">
        <v>25</v>
      </c>
      <c r="B27" s="2">
        <f>raw!B26*1000000/24/3600</f>
        <v>5015.6689305555565</v>
      </c>
    </row>
    <row r="28" spans="1:2" x14ac:dyDescent="0.25">
      <c r="A28" s="3">
        <v>26</v>
      </c>
      <c r="B28" s="2">
        <f>raw!B27*1000000/24/3600</f>
        <v>3844.3479062500001</v>
      </c>
    </row>
    <row r="29" spans="1:2" x14ac:dyDescent="0.25">
      <c r="A29" s="3">
        <v>27</v>
      </c>
      <c r="B29" s="2">
        <f>raw!B28*1000000/24/3600</f>
        <v>5172.2415162037032</v>
      </c>
    </row>
    <row r="30" spans="1:2" x14ac:dyDescent="0.25">
      <c r="A30" s="3">
        <v>28</v>
      </c>
      <c r="B30" s="2">
        <f>raw!B29*1000000/24/3600</f>
        <v>4804.8691689814814</v>
      </c>
    </row>
    <row r="31" spans="1:2" x14ac:dyDescent="0.25">
      <c r="A31" s="3">
        <v>29</v>
      </c>
      <c r="B31" s="2">
        <f>raw!B30*1000000/24/3600</f>
        <v>4938.4146249999994</v>
      </c>
    </row>
    <row r="32" spans="1:2" x14ac:dyDescent="0.25">
      <c r="A32" s="3">
        <v>30</v>
      </c>
      <c r="B32" s="2">
        <f>raw!B31*1000000/24/3600</f>
        <v>7414.7655486111107</v>
      </c>
    </row>
    <row r="33" spans="1:2" x14ac:dyDescent="0.25">
      <c r="A33" s="3">
        <v>31</v>
      </c>
      <c r="B33" s="2">
        <f>raw!B32*1000000/24/3600</f>
        <v>8214.6959548611103</v>
      </c>
    </row>
    <row r="34" spans="1:2" x14ac:dyDescent="0.25">
      <c r="A34" s="3">
        <v>32</v>
      </c>
      <c r="B34" s="2">
        <f>raw!B33*1000000/24/3600</f>
        <v>7959.6726481481473</v>
      </c>
    </row>
    <row r="35" spans="1:2" x14ac:dyDescent="0.25">
      <c r="A35" s="3">
        <v>33</v>
      </c>
      <c r="B35" s="2">
        <f>raw!B34*1000000/24/3600</f>
        <v>9281.1578564814827</v>
      </c>
    </row>
    <row r="36" spans="1:2" x14ac:dyDescent="0.25">
      <c r="A36" s="3">
        <v>34</v>
      </c>
      <c r="B36" s="2">
        <f>raw!B35*1000000/24/3600</f>
        <v>9587.5590405092571</v>
      </c>
    </row>
    <row r="37" spans="1:2" x14ac:dyDescent="0.25">
      <c r="A37" s="3">
        <v>35</v>
      </c>
      <c r="B37" s="2">
        <f>raw!B36*1000000/24/3600</f>
        <v>6104.7780162037043</v>
      </c>
    </row>
    <row r="38" spans="1:2" x14ac:dyDescent="0.25">
      <c r="A38" s="3">
        <v>36</v>
      </c>
      <c r="B38" s="2">
        <f>raw!B37*1000000/24/3600</f>
        <v>5271.5012916666665</v>
      </c>
    </row>
    <row r="39" spans="1:2" x14ac:dyDescent="0.25">
      <c r="A39" s="3">
        <v>37</v>
      </c>
      <c r="B39" s="2">
        <f>raw!B38*1000000/24/3600</f>
        <v>6279.8747488425934</v>
      </c>
    </row>
    <row r="40" spans="1:2" x14ac:dyDescent="0.25">
      <c r="A40" s="3">
        <v>38</v>
      </c>
      <c r="B40" s="2">
        <f>raw!B39*1000000/24/3600</f>
        <v>7858.9510949074074</v>
      </c>
    </row>
    <row r="41" spans="1:2" x14ac:dyDescent="0.25">
      <c r="A41" s="3">
        <v>39</v>
      </c>
      <c r="B41" s="2">
        <f>raw!B40*1000000/24/3600</f>
        <v>7709.2442766203703</v>
      </c>
    </row>
    <row r="42" spans="1:2" x14ac:dyDescent="0.25">
      <c r="A42" s="3">
        <v>40</v>
      </c>
      <c r="B42" s="2">
        <f>raw!B41*1000000/24/3600</f>
        <v>9559.4687465277766</v>
      </c>
    </row>
    <row r="43" spans="1:2" x14ac:dyDescent="0.25">
      <c r="A43" s="3">
        <v>41</v>
      </c>
      <c r="B43" s="2">
        <f>raw!B42*1000000/24/3600</f>
        <v>8899.4117615740743</v>
      </c>
    </row>
    <row r="44" spans="1:2" x14ac:dyDescent="0.25">
      <c r="A44" s="3">
        <v>42</v>
      </c>
      <c r="B44" s="2">
        <f>raw!B43*1000000/24/3600</f>
        <v>8765.2950682870378</v>
      </c>
    </row>
    <row r="45" spans="1:2" x14ac:dyDescent="0.25">
      <c r="A45" s="3">
        <v>43</v>
      </c>
      <c r="B45" s="2">
        <f>raw!B44*1000000/24/3600</f>
        <v>10043.437770833334</v>
      </c>
    </row>
    <row r="46" spans="1:2" x14ac:dyDescent="0.25">
      <c r="A46" s="3">
        <v>44</v>
      </c>
      <c r="B46" s="2">
        <f>raw!B45*1000000/24/3600</f>
        <v>9871.0617743055536</v>
      </c>
    </row>
    <row r="47" spans="1:2" x14ac:dyDescent="0.25">
      <c r="A47" s="3">
        <v>45</v>
      </c>
      <c r="B47" s="2">
        <f>raw!B46*1000000/24/3600</f>
        <v>8818.8018090277783</v>
      </c>
    </row>
    <row r="48" spans="1:2" x14ac:dyDescent="0.25">
      <c r="A48" s="3">
        <v>46</v>
      </c>
      <c r="B48" s="2">
        <f>raw!B47*1000000/24/3600</f>
        <v>9700.3925046296299</v>
      </c>
    </row>
    <row r="49" spans="1:2" x14ac:dyDescent="0.25">
      <c r="A49" s="3">
        <v>47</v>
      </c>
      <c r="B49" s="2">
        <f>raw!B48*1000000/24/3600</f>
        <v>9672.1132546296303</v>
      </c>
    </row>
    <row r="50" spans="1:2" x14ac:dyDescent="0.25">
      <c r="A50" s="3">
        <v>48</v>
      </c>
      <c r="B50" s="2">
        <f>raw!B49*1000000/24/3600</f>
        <v>9061.8931388888886</v>
      </c>
    </row>
    <row r="51" spans="1:2" x14ac:dyDescent="0.25">
      <c r="A51" s="3">
        <v>49</v>
      </c>
      <c r="B51" s="2">
        <f>raw!B50*1000000/24/3600</f>
        <v>7536.6670069444435</v>
      </c>
    </row>
    <row r="52" spans="1:2" x14ac:dyDescent="0.25">
      <c r="A52" s="3">
        <v>50</v>
      </c>
      <c r="B52" s="2">
        <f>raw!B51*1000000/24/3600</f>
        <v>8240.4518217592595</v>
      </c>
    </row>
    <row r="53" spans="1:2" x14ac:dyDescent="0.25">
      <c r="A53" s="3">
        <v>51</v>
      </c>
      <c r="B53" s="2">
        <f>raw!B52*1000000/24/3600</f>
        <v>7909.2200578703696</v>
      </c>
    </row>
    <row r="54" spans="1:2" x14ac:dyDescent="0.25">
      <c r="A54" s="3">
        <v>52</v>
      </c>
      <c r="B54" s="2">
        <f>raw!B53*1000000/24/3600</f>
        <v>5889.8847835648139</v>
      </c>
    </row>
    <row r="55" spans="1:2" x14ac:dyDescent="0.25">
      <c r="A55" s="3">
        <v>53</v>
      </c>
      <c r="B55" s="2">
        <f>raw!B54*1000000/24/3600</f>
        <v>5953.8898923611114</v>
      </c>
    </row>
    <row r="56" spans="1:2" x14ac:dyDescent="0.25">
      <c r="A56" s="3">
        <v>54</v>
      </c>
      <c r="B56" s="2">
        <f>raw!B55*1000000/24/3600</f>
        <v>9089.1371319444443</v>
      </c>
    </row>
    <row r="57" spans="1:2" x14ac:dyDescent="0.25">
      <c r="A57" s="3">
        <v>55</v>
      </c>
      <c r="B57" s="2">
        <f>raw!B56*1000000/24/3600</f>
        <v>11052.679579861111</v>
      </c>
    </row>
    <row r="58" spans="1:2" x14ac:dyDescent="0.25">
      <c r="A58" s="3">
        <v>56</v>
      </c>
      <c r="B58" s="2">
        <f>raw!B57*1000000/24/3600</f>
        <v>10101.276452546295</v>
      </c>
    </row>
    <row r="59" spans="1:2" x14ac:dyDescent="0.25">
      <c r="A59" s="3">
        <v>57</v>
      </c>
      <c r="B59" s="2">
        <f>raw!B58*1000000/24/3600</f>
        <v>9198.5817476851862</v>
      </c>
    </row>
    <row r="60" spans="1:2" x14ac:dyDescent="0.25">
      <c r="A60" s="3">
        <v>58</v>
      </c>
      <c r="B60" s="2">
        <f>raw!B59*1000000/24/3600</f>
        <v>8632.3433182870376</v>
      </c>
    </row>
    <row r="61" spans="1:2" x14ac:dyDescent="0.25">
      <c r="A61" s="3">
        <v>59</v>
      </c>
      <c r="B61" s="2">
        <f>raw!B60*1000000/24/3600</f>
        <v>7684.453342592592</v>
      </c>
    </row>
    <row r="62" spans="1:2" x14ac:dyDescent="0.25">
      <c r="A62" s="3">
        <v>60</v>
      </c>
      <c r="B62" s="2">
        <f>raw!B61*1000000/24/3600</f>
        <v>6148.2864722222221</v>
      </c>
    </row>
    <row r="63" spans="1:2" x14ac:dyDescent="0.25">
      <c r="A63" s="3">
        <v>61</v>
      </c>
      <c r="B63" s="2">
        <f>raw!B62*1000000/24/3600</f>
        <v>5493.6855312500002</v>
      </c>
    </row>
    <row r="64" spans="1:2" x14ac:dyDescent="0.25">
      <c r="A64" s="3">
        <v>62</v>
      </c>
      <c r="B64" s="2">
        <f>raw!B63*1000000/24/3600</f>
        <v>5721.1380150462965</v>
      </c>
    </row>
    <row r="65" spans="1:2" x14ac:dyDescent="0.25">
      <c r="A65" s="3">
        <v>63</v>
      </c>
      <c r="B65" s="2">
        <f>raw!B64*1000000/24/3600</f>
        <v>5996.780184027778</v>
      </c>
    </row>
    <row r="66" spans="1:2" x14ac:dyDescent="0.25">
      <c r="A66" s="3">
        <v>64</v>
      </c>
      <c r="B66" s="2">
        <f>raw!B65*1000000/24/3600</f>
        <v>5534.6477581018517</v>
      </c>
    </row>
    <row r="67" spans="1:2" x14ac:dyDescent="0.25">
      <c r="A67" s="3">
        <v>65</v>
      </c>
      <c r="B67" s="2">
        <f>raw!B66*1000000/24/3600</f>
        <v>6301.9613738425933</v>
      </c>
    </row>
    <row r="68" spans="1:2" x14ac:dyDescent="0.25">
      <c r="A68" s="3">
        <v>66</v>
      </c>
      <c r="B68" s="2">
        <f>raw!B67*1000000/24/3600</f>
        <v>6822.2582928240745</v>
      </c>
    </row>
    <row r="69" spans="1:2" x14ac:dyDescent="0.25">
      <c r="A69" s="3">
        <v>67</v>
      </c>
      <c r="B69" s="2">
        <f>raw!B68*1000000/24/3600</f>
        <v>6938.5021678240728</v>
      </c>
    </row>
    <row r="70" spans="1:2" x14ac:dyDescent="0.25">
      <c r="A70" s="3">
        <v>68</v>
      </c>
      <c r="B70" s="2">
        <f>raw!B69*1000000/24/3600</f>
        <v>6938.5021678240728</v>
      </c>
    </row>
    <row r="71" spans="1:2" x14ac:dyDescent="0.25">
      <c r="A71" s="3">
        <v>69</v>
      </c>
      <c r="B71" s="2">
        <f>raw!B70*1000000/24/3600</f>
        <v>6961.8859803240739</v>
      </c>
    </row>
    <row r="72" spans="1:2" x14ac:dyDescent="0.25">
      <c r="A72" s="3">
        <v>70</v>
      </c>
      <c r="B72" s="2">
        <f>raw!B71*1000000/24/3600</f>
        <v>7222.0869675925924</v>
      </c>
    </row>
    <row r="73" spans="1:2" x14ac:dyDescent="0.25">
      <c r="A73" s="3">
        <v>71</v>
      </c>
      <c r="B73" s="2">
        <f>raw!B72*1000000/24/3600</f>
        <v>6753.0513217592597</v>
      </c>
    </row>
    <row r="74" spans="1:2" x14ac:dyDescent="0.25">
      <c r="A74" s="3">
        <v>72</v>
      </c>
      <c r="B74" s="2">
        <f>raw!B73*1000000/24/3600</f>
        <v>5658.5812638888892</v>
      </c>
    </row>
    <row r="75" spans="1:2" x14ac:dyDescent="0.25">
      <c r="A75" s="3">
        <v>73</v>
      </c>
      <c r="B75" s="2">
        <f>raw!B74*1000000/24/3600</f>
        <v>5975.3130011574067</v>
      </c>
    </row>
    <row r="76" spans="1:2" x14ac:dyDescent="0.25">
      <c r="A76" s="3">
        <v>74</v>
      </c>
      <c r="B76" s="2">
        <f>raw!B75*1000000/24/3600</f>
        <v>6148.2864722222221</v>
      </c>
    </row>
    <row r="77" spans="1:2" x14ac:dyDescent="0.25">
      <c r="A77" s="3">
        <v>75</v>
      </c>
      <c r="B77" s="2">
        <f>raw!B76*1000000/24/3600</f>
        <v>5637.8164988425924</v>
      </c>
    </row>
    <row r="78" spans="1:2" x14ac:dyDescent="0.25">
      <c r="A78" s="3">
        <v>76</v>
      </c>
      <c r="B78" s="2">
        <f>raw!B77*1000000/24/3600</f>
        <v>5596.4180555555558</v>
      </c>
    </row>
    <row r="79" spans="1:2" x14ac:dyDescent="0.25">
      <c r="A79" s="3">
        <v>77</v>
      </c>
      <c r="B79" s="2">
        <f>raw!B78*1000000/24/3600</f>
        <v>5575.7843298611106</v>
      </c>
    </row>
    <row r="80" spans="1:2" x14ac:dyDescent="0.25">
      <c r="A80" s="3">
        <v>78</v>
      </c>
      <c r="B80" s="2">
        <f>raw!B79*1000000/24/3600</f>
        <v>5412.2833622685184</v>
      </c>
    </row>
    <row r="81" spans="1:2" x14ac:dyDescent="0.25">
      <c r="A81" s="3">
        <v>79</v>
      </c>
      <c r="B81" s="2">
        <f>raw!B80*1000000/24/3600</f>
        <v>5271.5012916666665</v>
      </c>
    </row>
    <row r="82" spans="1:2" x14ac:dyDescent="0.25">
      <c r="A82" s="3">
        <v>80</v>
      </c>
      <c r="B82" s="2">
        <f>raw!B81*1000000/24/3600</f>
        <v>5331.5763148148153</v>
      </c>
    </row>
    <row r="83" spans="1:2" x14ac:dyDescent="0.25">
      <c r="A83" s="3">
        <v>81</v>
      </c>
      <c r="B83" s="2">
        <f>raw!B82*1000000/24/3600</f>
        <v>5251.562873842593</v>
      </c>
    </row>
    <row r="84" spans="1:2" x14ac:dyDescent="0.25">
      <c r="A84" s="3">
        <v>82</v>
      </c>
      <c r="B84" s="2">
        <f>raw!B83*1000000/24/3600</f>
        <v>4748.276392361111</v>
      </c>
    </row>
    <row r="85" spans="1:2" x14ac:dyDescent="0.25">
      <c r="A85" s="3">
        <v>83</v>
      </c>
      <c r="B85" s="2">
        <f>raw!B84*1000000/24/3600</f>
        <v>4654.807303240741</v>
      </c>
    </row>
    <row r="86" spans="1:2" x14ac:dyDescent="0.25">
      <c r="A86" s="3">
        <v>84</v>
      </c>
      <c r="B86" s="2">
        <f>raw!B85*1000000/24/3600</f>
        <v>4150.9290578703703</v>
      </c>
    </row>
    <row r="87" spans="1:2" x14ac:dyDescent="0.25">
      <c r="A87" s="3">
        <v>85</v>
      </c>
      <c r="B87" s="2">
        <f>raw!B86*1000000/24/3600</f>
        <v>3877.7482997685179</v>
      </c>
    </row>
    <row r="88" spans="1:2" x14ac:dyDescent="0.25">
      <c r="A88" s="3">
        <v>86</v>
      </c>
      <c r="B88" s="2">
        <f>raw!B87*1000000/24/3600</f>
        <v>4013.0075706018511</v>
      </c>
    </row>
    <row r="89" spans="1:2" x14ac:dyDescent="0.25">
      <c r="A89" s="3">
        <v>87</v>
      </c>
      <c r="B89" s="2">
        <f>raw!B88*1000000/24/3600</f>
        <v>4344.9420543981487</v>
      </c>
    </row>
    <row r="90" spans="1:2" x14ac:dyDescent="0.25">
      <c r="A90" s="3">
        <v>88</v>
      </c>
      <c r="B90" s="2">
        <f>raw!B89*1000000/24/3600</f>
        <v>4344.9420543981487</v>
      </c>
    </row>
    <row r="91" spans="1:2" x14ac:dyDescent="0.25">
      <c r="A91" s="3">
        <v>89</v>
      </c>
      <c r="B91" s="2">
        <f>raw!B90*1000000/24/3600</f>
        <v>3827.7097303240748</v>
      </c>
    </row>
    <row r="92" spans="1:2" x14ac:dyDescent="0.25">
      <c r="A92" s="3">
        <v>90</v>
      </c>
      <c r="B92" s="2">
        <f>raw!B91*1000000/24/3600</f>
        <v>3928.1593842592592</v>
      </c>
    </row>
    <row r="93" spans="1:2" x14ac:dyDescent="0.25">
      <c r="A93" s="3">
        <v>91</v>
      </c>
      <c r="B93" s="2">
        <f>raw!B92*1000000/24/3600</f>
        <v>3728.7473240740742</v>
      </c>
    </row>
    <row r="94" spans="1:2" x14ac:dyDescent="0.25">
      <c r="A94" s="3">
        <v>92</v>
      </c>
      <c r="B94" s="2">
        <f>raw!B93*1000000/24/3600</f>
        <v>3631.2665173611113</v>
      </c>
    </row>
    <row r="95" spans="1:2" x14ac:dyDescent="0.25">
      <c r="A95" s="3">
        <v>93</v>
      </c>
      <c r="B95" s="2">
        <f>raw!B94*1000000/24/3600</f>
        <v>3551.1601828703701</v>
      </c>
    </row>
    <row r="96" spans="1:2" x14ac:dyDescent="0.25">
      <c r="A96" s="3">
        <v>94</v>
      </c>
      <c r="B96" s="2">
        <f>raw!B95*1000000/24/3600</f>
        <v>3728.7473240740742</v>
      </c>
    </row>
    <row r="97" spans="1:2" x14ac:dyDescent="0.25">
      <c r="A97" s="3">
        <v>95</v>
      </c>
      <c r="B97" s="2">
        <f>raw!B96*1000000/24/3600</f>
        <v>3347.6565555555553</v>
      </c>
    </row>
    <row r="98" spans="1:2" x14ac:dyDescent="0.25">
      <c r="A98" s="3">
        <v>96</v>
      </c>
      <c r="B98" s="2">
        <f>raw!B97*1000000/24/3600</f>
        <v>3271.2123784722221</v>
      </c>
    </row>
    <row r="99" spans="1:2" x14ac:dyDescent="0.25">
      <c r="A99" s="3">
        <v>97</v>
      </c>
      <c r="B99" s="2">
        <f>raw!B98*1000000/24/3600</f>
        <v>3004.3474409722221</v>
      </c>
    </row>
    <row r="100" spans="1:2" x14ac:dyDescent="0.25">
      <c r="A100" s="3">
        <v>98</v>
      </c>
      <c r="B100" s="2">
        <f>raw!B99*1000000/24/3600</f>
        <v>2777.9874097222219</v>
      </c>
    </row>
    <row r="101" spans="1:2" x14ac:dyDescent="0.25">
      <c r="A101" s="3">
        <v>99</v>
      </c>
      <c r="B101" s="2">
        <f>raw!B100*1000000/24/3600</f>
        <v>2601.508167824074</v>
      </c>
    </row>
    <row r="102" spans="1:2" x14ac:dyDescent="0.25">
      <c r="A102" s="3">
        <v>100</v>
      </c>
      <c r="B102" s="2">
        <f>raw!B101*1000000/24/3600</f>
        <v>2496.1904861111111</v>
      </c>
    </row>
    <row r="103" spans="1:2" x14ac:dyDescent="0.25">
      <c r="A103" s="3">
        <v>101</v>
      </c>
      <c r="B103" s="2">
        <f>raw!B102*1000000/24/3600</f>
        <v>2509.2190023148146</v>
      </c>
    </row>
    <row r="104" spans="1:2" x14ac:dyDescent="0.25">
      <c r="A104" s="3">
        <v>102</v>
      </c>
      <c r="B104" s="2">
        <f>raw!B103*1000000/24/3600</f>
        <v>2509.2190023148146</v>
      </c>
    </row>
    <row r="105" spans="1:2" x14ac:dyDescent="0.25">
      <c r="A105" s="3">
        <v>103</v>
      </c>
      <c r="B105" s="2">
        <f>raw!B104*1000000/24/3600</f>
        <v>2764.1762905092596</v>
      </c>
    </row>
    <row r="106" spans="1:2" x14ac:dyDescent="0.25">
      <c r="A106" s="3">
        <v>104</v>
      </c>
      <c r="B106" s="2">
        <f>raw!B105*1000000/24/3600</f>
        <v>2628.2275879629628</v>
      </c>
    </row>
    <row r="107" spans="1:2" x14ac:dyDescent="0.25">
      <c r="A107" s="3">
        <v>105</v>
      </c>
      <c r="B107" s="2">
        <f>raw!B106*1000000/24/3600</f>
        <v>2255.9915659722219</v>
      </c>
    </row>
    <row r="108" spans="1:2" x14ac:dyDescent="0.25">
      <c r="A108" s="3">
        <v>106</v>
      </c>
      <c r="B108" s="2">
        <f>raw!B107*1000000/24/3600</f>
        <v>2135.1314872685184</v>
      </c>
    </row>
    <row r="109" spans="1:2" x14ac:dyDescent="0.25">
      <c r="A109" s="3">
        <v>107</v>
      </c>
      <c r="B109" s="2">
        <f>raw!B108*1000000/24/3600</f>
        <v>2170.9896111111111</v>
      </c>
    </row>
    <row r="110" spans="1:2" x14ac:dyDescent="0.25">
      <c r="A110" s="3">
        <v>108</v>
      </c>
      <c r="B110" s="2">
        <f>raw!B109*1000000/24/3600</f>
        <v>2195.0852013888889</v>
      </c>
    </row>
    <row r="111" spans="1:2" x14ac:dyDescent="0.25">
      <c r="A111" s="3">
        <v>109</v>
      </c>
      <c r="B111" s="2">
        <f>raw!B110*1000000/24/3600</f>
        <v>2018.0666724537036</v>
      </c>
    </row>
    <row r="112" spans="1:2" x14ac:dyDescent="0.25">
      <c r="A112" s="3">
        <v>110</v>
      </c>
      <c r="B112" s="2">
        <f>raw!B111*1000000/24/3600</f>
        <v>2029.6032453703704</v>
      </c>
    </row>
    <row r="113" spans="1:2" x14ac:dyDescent="0.25">
      <c r="A113" s="3">
        <v>111</v>
      </c>
      <c r="B113" s="2">
        <f>raw!B112*1000000/24/3600</f>
        <v>1915.9277048611111</v>
      </c>
    </row>
    <row r="114" spans="1:2" x14ac:dyDescent="0.25">
      <c r="A114" s="3">
        <v>112</v>
      </c>
      <c r="B114" s="2">
        <f>raw!B113*1000000/24/3600</f>
        <v>1915.9277048611111</v>
      </c>
    </row>
    <row r="115" spans="1:2" x14ac:dyDescent="0.25">
      <c r="A115" s="3">
        <v>113</v>
      </c>
      <c r="B115" s="2">
        <f>raw!B114*1000000/24/3600</f>
        <v>1838.5796319444444</v>
      </c>
    </row>
    <row r="116" spans="1:2" x14ac:dyDescent="0.25">
      <c r="A116" s="3">
        <v>114</v>
      </c>
      <c r="B116" s="2">
        <f>raw!B115*1000000/24/3600</f>
        <v>1741.8044375000002</v>
      </c>
    </row>
    <row r="117" spans="1:2" x14ac:dyDescent="0.25">
      <c r="A117" s="3">
        <v>115</v>
      </c>
      <c r="B117" s="2">
        <f>raw!B116*1000000/24/3600</f>
        <v>1678.947193287037</v>
      </c>
    </row>
    <row r="118" spans="1:2" x14ac:dyDescent="0.25">
      <c r="A118" s="3">
        <v>116</v>
      </c>
      <c r="B118" s="2">
        <f>raw!B117*1000000/24/3600</f>
        <v>1689.3315833333334</v>
      </c>
    </row>
    <row r="119" spans="1:2" x14ac:dyDescent="0.25">
      <c r="A119" s="3">
        <v>117</v>
      </c>
      <c r="B119" s="2">
        <f>raw!B118*1000000/24/3600</f>
        <v>1627.574341435185</v>
      </c>
    </row>
    <row r="120" spans="1:2" x14ac:dyDescent="0.25">
      <c r="A120" s="3">
        <v>118</v>
      </c>
      <c r="B120" s="2">
        <f>raw!B119*1000000/24/3600</f>
        <v>1710.2104456018519</v>
      </c>
    </row>
    <row r="121" spans="1:2" x14ac:dyDescent="0.25">
      <c r="A121" s="3">
        <v>119</v>
      </c>
      <c r="B121" s="2">
        <f>raw!B120*1000000/24/3600</f>
        <v>1658.2883321759257</v>
      </c>
    </row>
    <row r="122" spans="1:2" x14ac:dyDescent="0.25">
      <c r="A122" s="3">
        <v>120</v>
      </c>
      <c r="B122" s="2">
        <f>raw!B121*1000000/24/3600</f>
        <v>2111.4158865740742</v>
      </c>
    </row>
    <row r="123" spans="1:2" x14ac:dyDescent="0.25">
      <c r="A123" s="3">
        <v>121</v>
      </c>
      <c r="B123" s="2">
        <f>raw!B122*1000000/24/3600</f>
        <v>2588.2070590277776</v>
      </c>
    </row>
    <row r="124" spans="1:2" x14ac:dyDescent="0.25">
      <c r="A124" s="3">
        <v>122</v>
      </c>
      <c r="B124" s="2">
        <f>raw!B123*1000000/24/3600</f>
        <v>2777.9874097222219</v>
      </c>
    </row>
    <row r="125" spans="1:2" x14ac:dyDescent="0.25">
      <c r="A125" s="3">
        <v>123</v>
      </c>
      <c r="B125" s="2">
        <f>raw!B124*1000000/24/3600</f>
        <v>2861.6832071759259</v>
      </c>
    </row>
    <row r="126" spans="1:2" x14ac:dyDescent="0.25">
      <c r="A126" s="3">
        <v>124</v>
      </c>
      <c r="B126" s="2">
        <f>raw!B125*1000000/24/3600</f>
        <v>2614.8483344907409</v>
      </c>
    </row>
    <row r="127" spans="1:2" x14ac:dyDescent="0.25">
      <c r="A127" s="3">
        <v>125</v>
      </c>
      <c r="B127" s="2">
        <f>raw!B126*1000000/24/3600</f>
        <v>2135.1314872685184</v>
      </c>
    </row>
    <row r="128" spans="1:2" x14ac:dyDescent="0.25">
      <c r="A128" s="3">
        <v>126</v>
      </c>
      <c r="B128" s="2">
        <f>raw!B127*1000000/24/3600</f>
        <v>1860.4929155092593</v>
      </c>
    </row>
    <row r="129" spans="1:2" x14ac:dyDescent="0.25">
      <c r="A129" s="3">
        <v>127</v>
      </c>
      <c r="B129" s="2">
        <f>raw!B128*1000000/24/3600</f>
        <v>1720.7049837962961</v>
      </c>
    </row>
    <row r="130" spans="1:2" x14ac:dyDescent="0.25">
      <c r="A130" s="3">
        <v>128</v>
      </c>
      <c r="B130" s="2">
        <f>raw!B129*1000000/24/3600</f>
        <v>1601.2211956018521</v>
      </c>
    </row>
    <row r="131" spans="1:2" x14ac:dyDescent="0.25">
      <c r="A131" s="3">
        <v>129</v>
      </c>
      <c r="B131" s="2">
        <f>raw!B130*1000000/24/3600</f>
        <v>1507.9930520833332</v>
      </c>
    </row>
    <row r="132" spans="1:2" x14ac:dyDescent="0.25">
      <c r="A132" s="3">
        <v>130</v>
      </c>
      <c r="B132" s="2">
        <f>raw!B131*1000000/24/3600</f>
        <v>1421.7200763888891</v>
      </c>
    </row>
    <row r="133" spans="1:2" x14ac:dyDescent="0.25">
      <c r="A133" s="3">
        <v>131</v>
      </c>
      <c r="B133" s="2">
        <f>raw!B132*1000000/24/3600</f>
        <v>1356.623565972222</v>
      </c>
    </row>
    <row r="134" spans="1:2" x14ac:dyDescent="0.25">
      <c r="A134" s="3">
        <v>132</v>
      </c>
      <c r="B134" s="2">
        <f>raw!B133*1000000/24/3600</f>
        <v>1302.2127743055555</v>
      </c>
    </row>
    <row r="135" spans="1:2" x14ac:dyDescent="0.25">
      <c r="A135" s="3">
        <v>133</v>
      </c>
      <c r="B135" s="2">
        <f>raw!B134*1000000/24/3600</f>
        <v>1266.6458217592592</v>
      </c>
    </row>
    <row r="136" spans="1:2" x14ac:dyDescent="0.25">
      <c r="A136" s="3">
        <v>134</v>
      </c>
      <c r="B136" s="2">
        <f>raw!B135*1000000/24/3600</f>
        <v>1302.2127743055555</v>
      </c>
    </row>
    <row r="137" spans="1:2" x14ac:dyDescent="0.25">
      <c r="A137" s="3">
        <v>135</v>
      </c>
      <c r="B137" s="2">
        <f>raw!B136*1000000/24/3600</f>
        <v>1302.2127743055555</v>
      </c>
    </row>
    <row r="138" spans="1:2" x14ac:dyDescent="0.25">
      <c r="A138" s="3">
        <v>136</v>
      </c>
      <c r="B138" s="2">
        <f>raw!B137*1000000/24/3600</f>
        <v>1293.2681423611111</v>
      </c>
    </row>
    <row r="139" spans="1:2" x14ac:dyDescent="0.25">
      <c r="A139" s="3">
        <v>137</v>
      </c>
      <c r="B139" s="2">
        <f>raw!B138*1000000/24/3600</f>
        <v>1293.2681423611111</v>
      </c>
    </row>
    <row r="140" spans="1:2" x14ac:dyDescent="0.25">
      <c r="A140" s="3">
        <v>138</v>
      </c>
      <c r="B140" s="2">
        <f>raw!B139*1000000/24/3600</f>
        <v>1231.6417476851852</v>
      </c>
    </row>
    <row r="141" spans="1:2" x14ac:dyDescent="0.25">
      <c r="A141" s="3">
        <v>139</v>
      </c>
      <c r="B141" s="2">
        <f>raw!B140*1000000/24/3600</f>
        <v>1146.5791111111112</v>
      </c>
    </row>
    <row r="142" spans="1:2" x14ac:dyDescent="0.25">
      <c r="A142" s="3">
        <v>140</v>
      </c>
      <c r="B142" s="2">
        <f>raw!B141*1000000/24/3600</f>
        <v>1089.100560300926</v>
      </c>
    </row>
    <row r="143" spans="1:2" x14ac:dyDescent="0.25">
      <c r="A143" s="3">
        <v>141</v>
      </c>
      <c r="B143" s="2">
        <f>raw!B142*1000000/24/3600</f>
        <v>1049.077684837963</v>
      </c>
    </row>
    <row r="144" spans="1:2" x14ac:dyDescent="0.25">
      <c r="A144" s="3">
        <v>142</v>
      </c>
      <c r="B144" s="2">
        <f>raw!B143*1000000/24/3600</f>
        <v>971.59444166666674</v>
      </c>
    </row>
    <row r="145" spans="1:2" x14ac:dyDescent="0.25">
      <c r="A145" s="3">
        <v>143</v>
      </c>
      <c r="B145" s="2">
        <f>raw!B144*1000000/24/3600</f>
        <v>986.81906678240739</v>
      </c>
    </row>
    <row r="146" spans="1:2" x14ac:dyDescent="0.25">
      <c r="A146" s="3">
        <v>144</v>
      </c>
      <c r="B146" s="2">
        <f>raw!B145*1000000/24/3600</f>
        <v>956.50521793981488</v>
      </c>
    </row>
    <row r="147" spans="1:2" x14ac:dyDescent="0.25">
      <c r="A147" s="3">
        <v>145</v>
      </c>
      <c r="B147" s="2">
        <f>raw!B146*1000000/24/3600</f>
        <v>956.50521793981488</v>
      </c>
    </row>
    <row r="148" spans="1:2" x14ac:dyDescent="0.25">
      <c r="A148" s="3">
        <v>146</v>
      </c>
      <c r="B148" s="2">
        <f>raw!B147*1000000/24/3600</f>
        <v>956.50521793981488</v>
      </c>
    </row>
    <row r="149" spans="1:2" x14ac:dyDescent="0.25">
      <c r="A149" s="3">
        <v>147</v>
      </c>
      <c r="B149" s="2">
        <f>raw!B148*1000000/24/3600</f>
        <v>964.0329238425926</v>
      </c>
    </row>
    <row r="150" spans="1:2" x14ac:dyDescent="0.25">
      <c r="A150" s="3">
        <v>148</v>
      </c>
      <c r="B150" s="2">
        <f>raw!B149*1000000/24/3600</f>
        <v>941.55108784722211</v>
      </c>
    </row>
    <row r="151" spans="1:2" x14ac:dyDescent="0.25">
      <c r="A151" s="3">
        <v>149</v>
      </c>
      <c r="B151" s="2">
        <f>raw!B150*1000000/24/3600</f>
        <v>912.04687152777785</v>
      </c>
    </row>
    <row r="152" spans="1:2" x14ac:dyDescent="0.25">
      <c r="A152" s="3">
        <v>150</v>
      </c>
      <c r="B152" s="2">
        <f>raw!B151*1000000/24/3600</f>
        <v>883.07930451388881</v>
      </c>
    </row>
    <row r="153" spans="1:2" x14ac:dyDescent="0.25">
      <c r="A153" s="3">
        <v>151</v>
      </c>
      <c r="B153" s="2">
        <f>raw!B152*1000000/24/3600</f>
        <v>847.62068148148137</v>
      </c>
    </row>
    <row r="154" spans="1:2" x14ac:dyDescent="0.25">
      <c r="A154" s="3">
        <v>152</v>
      </c>
      <c r="B154" s="2">
        <f>raw!B153*1000000/24/3600</f>
        <v>826.74405173611103</v>
      </c>
    </row>
    <row r="155" spans="1:2" x14ac:dyDescent="0.25">
      <c r="A155" s="3">
        <v>153</v>
      </c>
      <c r="B155" s="2">
        <f>raw!B154*1000000/24/3600</f>
        <v>282.66935567129627</v>
      </c>
    </row>
    <row r="156" spans="1:2" x14ac:dyDescent="0.25">
      <c r="A156" s="3">
        <v>154</v>
      </c>
      <c r="B156" s="2">
        <f>raw!B155*1000000/24/3600</f>
        <v>785.8824721064816</v>
      </c>
    </row>
    <row r="157" spans="1:2" x14ac:dyDescent="0.25">
      <c r="A157" s="3">
        <v>155</v>
      </c>
      <c r="B157" s="2">
        <f>raw!B156*1000000/24/3600</f>
        <v>759.29841574074078</v>
      </c>
    </row>
    <row r="158" spans="1:2" x14ac:dyDescent="0.25">
      <c r="A158" s="3">
        <v>156</v>
      </c>
      <c r="B158" s="2">
        <f>raw!B157*1000000/24/3600</f>
        <v>752.73415219907406</v>
      </c>
    </row>
    <row r="159" spans="1:2" x14ac:dyDescent="0.25">
      <c r="A159" s="3">
        <v>157</v>
      </c>
      <c r="B159" s="2">
        <f>raw!B158*1000000/24/3600</f>
        <v>765.89533842592596</v>
      </c>
    </row>
    <row r="160" spans="1:2" x14ac:dyDescent="0.25">
      <c r="A160" s="3">
        <v>158</v>
      </c>
      <c r="B160" s="2">
        <f>raw!B159*1000000/24/3600</f>
        <v>840.62867256944446</v>
      </c>
    </row>
    <row r="161" spans="1:2" x14ac:dyDescent="0.25">
      <c r="A161" s="3">
        <v>159</v>
      </c>
      <c r="B161" s="2">
        <f>raw!B160*1000000/24/3600</f>
        <v>883.07930451388881</v>
      </c>
    </row>
    <row r="162" spans="1:2" x14ac:dyDescent="0.25">
      <c r="A162" s="3">
        <v>160</v>
      </c>
      <c r="B162" s="2">
        <f>raw!B161*1000000/24/3600</f>
        <v>883.07930451388881</v>
      </c>
    </row>
    <row r="163" spans="1:2" x14ac:dyDescent="0.25">
      <c r="A163" s="3">
        <v>161</v>
      </c>
      <c r="B163" s="2">
        <f>raw!B162*1000000/24/3600</f>
        <v>826.74405173611103</v>
      </c>
    </row>
    <row r="164" spans="1:2" x14ac:dyDescent="0.25">
      <c r="A164" s="3">
        <v>162</v>
      </c>
      <c r="B164" s="2">
        <f>raw!B163*1000000/24/3600</f>
        <v>847.62068148148137</v>
      </c>
    </row>
    <row r="165" spans="1:2" x14ac:dyDescent="0.25">
      <c r="A165" s="3">
        <v>163</v>
      </c>
      <c r="B165" s="2">
        <f>raw!B164*1000000/24/3600</f>
        <v>847.62068148148137</v>
      </c>
    </row>
    <row r="166" spans="1:2" x14ac:dyDescent="0.25">
      <c r="A166" s="3">
        <v>164</v>
      </c>
      <c r="B166" s="2">
        <f>raw!B165*1000000/24/3600</f>
        <v>812.9916929398147</v>
      </c>
    </row>
    <row r="167" spans="1:2" x14ac:dyDescent="0.25">
      <c r="A167" s="3">
        <v>165</v>
      </c>
      <c r="B167" s="2">
        <f>raw!B166*1000000/24/3600</f>
        <v>746.20250671296299</v>
      </c>
    </row>
    <row r="168" spans="1:2" x14ac:dyDescent="0.25">
      <c r="A168" s="3">
        <v>166</v>
      </c>
      <c r="B168" s="2">
        <f>raw!B167*1000000/24/3600</f>
        <v>714.0321011574074</v>
      </c>
    </row>
    <row r="169" spans="1:2" x14ac:dyDescent="0.25">
      <c r="A169" s="3">
        <v>167</v>
      </c>
      <c r="B169" s="2">
        <f>raw!B168*1000000/24/3600</f>
        <v>628.24314386574076</v>
      </c>
    </row>
    <row r="170" spans="1:2" x14ac:dyDescent="0.25">
      <c r="A170" s="3">
        <v>168</v>
      </c>
      <c r="B170" s="2">
        <f>raw!B169*1000000/24/3600</f>
        <v>664.24043263888893</v>
      </c>
    </row>
    <row r="171" spans="1:2" x14ac:dyDescent="0.25">
      <c r="A171" s="3">
        <v>169</v>
      </c>
      <c r="B171" s="2">
        <f>raw!B170*1000000/24/3600</f>
        <v>640.11468993055553</v>
      </c>
    </row>
    <row r="172" spans="1:2" x14ac:dyDescent="0.25">
      <c r="A172" s="3">
        <v>170</v>
      </c>
      <c r="B172" s="2">
        <f>raw!B171*1000000/24/3600</f>
        <v>652.11367129629627</v>
      </c>
    </row>
    <row r="173" spans="1:2" x14ac:dyDescent="0.25">
      <c r="A173" s="3">
        <v>171</v>
      </c>
      <c r="B173" s="2">
        <f>raw!B172*1000000/24/3600</f>
        <v>634.16300902777778</v>
      </c>
    </row>
    <row r="174" spans="1:2" x14ac:dyDescent="0.25">
      <c r="A174" s="3">
        <v>172</v>
      </c>
      <c r="B174" s="2">
        <f>raw!B173*1000000/24/3600</f>
        <v>616.49868738425937</v>
      </c>
    </row>
    <row r="175" spans="1:2" x14ac:dyDescent="0.25">
      <c r="A175" s="3">
        <v>173</v>
      </c>
      <c r="B175" s="2">
        <f>raw!B174*1000000/24/3600</f>
        <v>604.88097210648141</v>
      </c>
    </row>
    <row r="176" spans="1:2" x14ac:dyDescent="0.25">
      <c r="A176" s="3">
        <v>174</v>
      </c>
      <c r="B176" s="2">
        <f>raw!B175*1000000/24/3600</f>
        <v>587.6912734953703</v>
      </c>
    </row>
    <row r="177" spans="1:2" x14ac:dyDescent="0.25">
      <c r="A177" s="3">
        <v>175</v>
      </c>
      <c r="B177" s="2">
        <f>raw!B176*1000000/24/3600</f>
        <v>576.38887685185193</v>
      </c>
    </row>
    <row r="178" spans="1:2" x14ac:dyDescent="0.25">
      <c r="A178" s="3">
        <v>176</v>
      </c>
      <c r="B178" s="2">
        <f>raw!B177*1000000/24/3600</f>
        <v>570.78476643518513</v>
      </c>
    </row>
    <row r="179" spans="1:2" x14ac:dyDescent="0.25">
      <c r="A179" s="3">
        <v>177</v>
      </c>
      <c r="B179" s="2">
        <f>raw!B178*1000000/24/3600</f>
        <v>565.21198877314805</v>
      </c>
    </row>
    <row r="180" spans="1:2" x14ac:dyDescent="0.25">
      <c r="A180" s="3">
        <v>178</v>
      </c>
      <c r="B180" s="2">
        <f>raw!B179*1000000/24/3600</f>
        <v>537.81652314814812</v>
      </c>
    </row>
    <row r="181" spans="1:2" x14ac:dyDescent="0.25">
      <c r="A181" s="3">
        <v>179</v>
      </c>
      <c r="B181" s="2">
        <f>raw!B180*1000000/24/3600</f>
        <v>521.75235960648138</v>
      </c>
    </row>
    <row r="182" spans="1:2" x14ac:dyDescent="0.25">
      <c r="A182" s="3">
        <v>180</v>
      </c>
      <c r="B182" s="2">
        <f>raw!B181*1000000/24/3600</f>
        <v>521.75235960648138</v>
      </c>
    </row>
    <row r="183" spans="1:2" x14ac:dyDescent="0.25">
      <c r="A183" s="3">
        <v>181</v>
      </c>
      <c r="B183" s="2">
        <f>raw!B182*1000000/24/3600</f>
        <v>570.78476643518513</v>
      </c>
    </row>
    <row r="184" spans="1:2" x14ac:dyDescent="0.25">
      <c r="A184" s="3">
        <v>182</v>
      </c>
      <c r="B184" s="2">
        <f>raw!B183*1000000/24/3600</f>
        <v>532.43079965277775</v>
      </c>
    </row>
    <row r="185" spans="1:2" x14ac:dyDescent="0.25">
      <c r="A185" s="3">
        <v>183</v>
      </c>
      <c r="B185" s="2">
        <f>raw!B184*1000000/24/3600</f>
        <v>500.76622928240744</v>
      </c>
    </row>
    <row r="186" spans="1:2" x14ac:dyDescent="0.25">
      <c r="A186" s="3">
        <v>184</v>
      </c>
      <c r="B186" s="2">
        <f>raw!B185*1000000/24/3600</f>
        <v>485.34958784722227</v>
      </c>
    </row>
    <row r="187" spans="1:2" x14ac:dyDescent="0.25">
      <c r="A187" s="3">
        <v>185</v>
      </c>
      <c r="B187" s="2">
        <f>raw!B186*1000000/24/3600</f>
        <v>495.59666817129624</v>
      </c>
    </row>
    <row r="188" spans="1:2" x14ac:dyDescent="0.25">
      <c r="A188" s="3">
        <v>186</v>
      </c>
      <c r="B188" s="2">
        <f>raw!B187*1000000/24/3600</f>
        <v>521.75235960648138</v>
      </c>
    </row>
    <row r="189" spans="1:2" x14ac:dyDescent="0.25">
      <c r="A189" s="3">
        <v>187</v>
      </c>
      <c r="B189" s="2">
        <f>raw!B188*1000000/24/3600</f>
        <v>532.43079965277775</v>
      </c>
    </row>
    <row r="190" spans="1:2" x14ac:dyDescent="0.25">
      <c r="A190" s="3">
        <v>188</v>
      </c>
      <c r="B190" s="2">
        <f>raw!B189*1000000/24/3600</f>
        <v>532.43079965277775</v>
      </c>
    </row>
    <row r="191" spans="1:2" x14ac:dyDescent="0.25">
      <c r="A191" s="3">
        <v>189</v>
      </c>
      <c r="B191" s="2">
        <f>raw!B190*1000000/24/3600</f>
        <v>521.75235960648138</v>
      </c>
    </row>
    <row r="192" spans="1:2" x14ac:dyDescent="0.25">
      <c r="A192" s="3">
        <v>190</v>
      </c>
      <c r="B192" s="2">
        <f>raw!B191*1000000/24/3600</f>
        <v>516.45955208333339</v>
      </c>
    </row>
    <row r="193" spans="1:2" x14ac:dyDescent="0.25">
      <c r="A193" s="3">
        <v>191</v>
      </c>
      <c r="B193" s="2">
        <f>raw!B192*1000000/24/3600</f>
        <v>516.45955208333339</v>
      </c>
    </row>
    <row r="194" spans="1:2" x14ac:dyDescent="0.25">
      <c r="A194" s="3">
        <v>192</v>
      </c>
      <c r="B194" s="2">
        <f>raw!B193*1000000/24/3600</f>
        <v>505.96653287037037</v>
      </c>
    </row>
    <row r="195" spans="1:2" x14ac:dyDescent="0.25">
      <c r="A195" s="3">
        <v>193</v>
      </c>
      <c r="B195" s="2">
        <f>raw!B194*1000000/24/3600</f>
        <v>500.76622928240744</v>
      </c>
    </row>
    <row r="196" spans="1:2" x14ac:dyDescent="0.25">
      <c r="A196" s="3">
        <v>194</v>
      </c>
      <c r="B196" s="2">
        <f>raw!B195*1000000/24/3600</f>
        <v>485.34958784722227</v>
      </c>
    </row>
    <row r="197" spans="1:2" x14ac:dyDescent="0.25">
      <c r="A197" s="3">
        <v>195</v>
      </c>
      <c r="B197" s="2">
        <f>raw!B196*1000000/24/3600</f>
        <v>480.27197557870369</v>
      </c>
    </row>
    <row r="198" spans="1:2" x14ac:dyDescent="0.25">
      <c r="A198" s="3">
        <v>196</v>
      </c>
      <c r="B198" s="2">
        <f>raw!B197*1000000/24/3600</f>
        <v>475.22491979166665</v>
      </c>
    </row>
    <row r="199" spans="1:2" x14ac:dyDescent="0.25">
      <c r="A199" s="3">
        <v>197</v>
      </c>
      <c r="B199" s="2">
        <f>raw!B198*1000000/24/3600</f>
        <v>470.20837337962968</v>
      </c>
    </row>
    <row r="200" spans="1:2" x14ac:dyDescent="0.25">
      <c r="A200" s="3">
        <v>198</v>
      </c>
      <c r="B200" s="2">
        <f>raw!B199*1000000/24/3600</f>
        <v>465.22228958333329</v>
      </c>
    </row>
    <row r="201" spans="1:2" x14ac:dyDescent="0.25">
      <c r="A201" s="3">
        <v>199</v>
      </c>
      <c r="B201" s="2">
        <f>raw!B200*1000000/24/3600</f>
        <v>460.26662106481484</v>
      </c>
    </row>
    <row r="202" spans="1:2" x14ac:dyDescent="0.25">
      <c r="A202" s="3">
        <v>200</v>
      </c>
      <c r="B202" s="2">
        <f>raw!B201*1000000/24/3600</f>
        <v>460.26662106481484</v>
      </c>
    </row>
    <row r="203" spans="1:2" x14ac:dyDescent="0.25">
      <c r="A203" s="3">
        <v>201</v>
      </c>
      <c r="B203" s="2">
        <f>raw!B202*1000000/24/3600</f>
        <v>440.74715254629626</v>
      </c>
    </row>
    <row r="204" spans="1:2" x14ac:dyDescent="0.25">
      <c r="A204" s="3">
        <v>202</v>
      </c>
      <c r="B204" s="2">
        <f>raw!B203*1000000/24/3600</f>
        <v>398.58901041666667</v>
      </c>
    </row>
    <row r="205" spans="1:2" x14ac:dyDescent="0.25">
      <c r="A205" s="3">
        <v>203</v>
      </c>
      <c r="B205" s="2">
        <f>raw!B204*1000000/24/3600</f>
        <v>394.05412430555555</v>
      </c>
    </row>
    <row r="206" spans="1:2" x14ac:dyDescent="0.25">
      <c r="A206" s="3">
        <v>204</v>
      </c>
      <c r="B206" s="2">
        <f>raw!B205*1000000/24/3600</f>
        <v>394.05412430555555</v>
      </c>
    </row>
    <row r="207" spans="1:2" x14ac:dyDescent="0.25">
      <c r="A207" s="3">
        <v>205</v>
      </c>
      <c r="B207" s="2">
        <f>raw!B206*1000000/24/3600</f>
        <v>389.54892870370372</v>
      </c>
    </row>
    <row r="208" spans="1:2" x14ac:dyDescent="0.25">
      <c r="A208" s="3">
        <v>206</v>
      </c>
      <c r="B208" s="2">
        <f>raw!B207*1000000/24/3600</f>
        <v>380.62741018518523</v>
      </c>
    </row>
    <row r="209" spans="1:2" x14ac:dyDescent="0.25">
      <c r="A209" s="3">
        <v>207</v>
      </c>
      <c r="B209" s="2">
        <f>raw!B208*1000000/24/3600</f>
        <v>394.05412430555555</v>
      </c>
    </row>
    <row r="210" spans="1:2" x14ac:dyDescent="0.25">
      <c r="A210" s="3">
        <v>208</v>
      </c>
      <c r="B210" s="2">
        <f>raw!B209*1000000/24/3600</f>
        <v>380.62741018518523</v>
      </c>
    </row>
    <row r="211" spans="1:2" x14ac:dyDescent="0.25">
      <c r="A211" s="3">
        <v>209</v>
      </c>
      <c r="B211" s="2">
        <f>raw!B210*1000000/24/3600</f>
        <v>380.62741018518523</v>
      </c>
    </row>
    <row r="212" spans="1:2" x14ac:dyDescent="0.25">
      <c r="A212" s="3">
        <v>210</v>
      </c>
      <c r="B212" s="2">
        <f>raw!B211*1000000/24/3600</f>
        <v>371.82405636574072</v>
      </c>
    </row>
    <row r="213" spans="1:2" x14ac:dyDescent="0.25">
      <c r="A213" s="3">
        <v>211</v>
      </c>
      <c r="B213" s="2">
        <f>raw!B212*1000000/24/3600</f>
        <v>371.82405636574072</v>
      </c>
    </row>
    <row r="214" spans="1:2" x14ac:dyDescent="0.25">
      <c r="A214" s="3">
        <v>212</v>
      </c>
      <c r="B214" s="2">
        <f>raw!B213*1000000/24/3600</f>
        <v>358.83970636574071</v>
      </c>
    </row>
    <row r="215" spans="1:2" x14ac:dyDescent="0.25">
      <c r="A215" s="3">
        <v>213</v>
      </c>
      <c r="B215" s="2">
        <f>raw!B214*1000000/24/3600</f>
        <v>358.83970636574071</v>
      </c>
    </row>
    <row r="216" spans="1:2" x14ac:dyDescent="0.25">
      <c r="A216" s="3">
        <v>214</v>
      </c>
      <c r="B216" s="2">
        <f>raw!B215*1000000/24/3600</f>
        <v>350.33000370370371</v>
      </c>
    </row>
    <row r="217" spans="1:2" x14ac:dyDescent="0.25">
      <c r="A217" s="3">
        <v>215</v>
      </c>
      <c r="B217" s="2">
        <f>raw!B216*1000000/24/3600</f>
        <v>346.11895891203704</v>
      </c>
    </row>
    <row r="218" spans="1:2" x14ac:dyDescent="0.25">
      <c r="A218" s="3">
        <v>216</v>
      </c>
      <c r="B218" s="2">
        <f>raw!B217*1000000/24/3600</f>
        <v>341.93705011574082</v>
      </c>
    </row>
    <row r="219" spans="1:2" x14ac:dyDescent="0.25">
      <c r="A219" s="3">
        <v>217</v>
      </c>
      <c r="B219" s="2">
        <f>raw!B218*1000000/24/3600</f>
        <v>337.78422604166667</v>
      </c>
    </row>
    <row r="220" spans="1:2" x14ac:dyDescent="0.25">
      <c r="A220" s="3">
        <v>218</v>
      </c>
      <c r="B220" s="2">
        <f>raw!B219*1000000/24/3600</f>
        <v>329.565625462963</v>
      </c>
    </row>
    <row r="221" spans="1:2" x14ac:dyDescent="0.25">
      <c r="A221" s="3">
        <v>219</v>
      </c>
      <c r="B221" s="2">
        <f>raw!B220*1000000/24/3600</f>
        <v>325.4997451388889</v>
      </c>
    </row>
    <row r="222" spans="1:2" x14ac:dyDescent="0.25">
      <c r="A222" s="3">
        <v>220</v>
      </c>
      <c r="B222" s="2">
        <f>raw!B221*1000000/24/3600</f>
        <v>317.45456388888886</v>
      </c>
    </row>
    <row r="223" spans="1:2" x14ac:dyDescent="0.25">
      <c r="A223" s="3">
        <v>221</v>
      </c>
      <c r="B223" s="2">
        <f>raw!B222*1000000/24/3600</f>
        <v>313.47515810185183</v>
      </c>
    </row>
    <row r="224" spans="1:2" x14ac:dyDescent="0.25">
      <c r="A224" s="3">
        <v>222</v>
      </c>
      <c r="B224" s="2">
        <f>raw!B223*1000000/24/3600</f>
        <v>309.52447199074072</v>
      </c>
    </row>
    <row r="225" spans="1:2" x14ac:dyDescent="0.25">
      <c r="A225" s="3">
        <v>223</v>
      </c>
      <c r="B225" s="2">
        <f>raw!B224*1000000/24/3600</f>
        <v>309.52447199074072</v>
      </c>
    </row>
    <row r="226" spans="1:2" x14ac:dyDescent="0.25">
      <c r="A226" s="3">
        <v>224</v>
      </c>
      <c r="B226" s="2">
        <f>raw!B225*1000000/24/3600</f>
        <v>313.47515810185183</v>
      </c>
    </row>
    <row r="227" spans="1:2" x14ac:dyDescent="0.25">
      <c r="A227" s="3">
        <v>225</v>
      </c>
      <c r="B227" s="2">
        <f>raw!B226*1000000/24/3600</f>
        <v>309.52447199074072</v>
      </c>
    </row>
    <row r="228" spans="1:2" x14ac:dyDescent="0.25">
      <c r="A228" s="3">
        <v>226</v>
      </c>
      <c r="B228" s="2">
        <f>raw!B227*1000000/24/3600</f>
        <v>309.52447199074072</v>
      </c>
    </row>
    <row r="229" spans="1:2" x14ac:dyDescent="0.25">
      <c r="A229" s="3">
        <v>227</v>
      </c>
      <c r="B229" s="2">
        <f>raw!B228*1000000/24/3600</f>
        <v>317.45456388888886</v>
      </c>
    </row>
    <row r="230" spans="1:2" x14ac:dyDescent="0.25">
      <c r="A230" s="3">
        <v>228</v>
      </c>
      <c r="B230" s="2">
        <f>raw!B229*1000000/24/3600</f>
        <v>305.60245277777778</v>
      </c>
    </row>
    <row r="231" spans="1:2" x14ac:dyDescent="0.25">
      <c r="A231" s="3">
        <v>229</v>
      </c>
      <c r="B231" s="2">
        <f>raw!B230*1000000/24/3600</f>
        <v>297.84420231481477</v>
      </c>
    </row>
    <row r="232" spans="1:2" x14ac:dyDescent="0.25">
      <c r="A232" s="3">
        <v>230</v>
      </c>
      <c r="B232" s="2">
        <f>raw!B231*1000000/24/3600</f>
        <v>294.00786446759264</v>
      </c>
    </row>
    <row r="233" spans="1:2" x14ac:dyDescent="0.25">
      <c r="A233" s="3">
        <v>231</v>
      </c>
      <c r="B233" s="2">
        <f>raw!B232*1000000/24/3600</f>
        <v>294.00786446759264</v>
      </c>
    </row>
    <row r="234" spans="1:2" x14ac:dyDescent="0.25">
      <c r="A234" s="3">
        <v>232</v>
      </c>
      <c r="B234" s="2">
        <f>raw!B233*1000000/24/3600</f>
        <v>286.42049502314813</v>
      </c>
    </row>
    <row r="235" spans="1:2" x14ac:dyDescent="0.25">
      <c r="A235" s="3">
        <v>233</v>
      </c>
      <c r="B235" s="2">
        <f>raw!B234*1000000/24/3600</f>
        <v>282.66935567129627</v>
      </c>
    </row>
    <row r="236" spans="1:2" x14ac:dyDescent="0.25">
      <c r="A236" s="3">
        <v>234</v>
      </c>
      <c r="B236" s="2">
        <f>raw!B235*1000000/24/3600</f>
        <v>290.19997997685186</v>
      </c>
    </row>
    <row r="237" spans="1:2" x14ac:dyDescent="0.25">
      <c r="A237" s="3">
        <v>235</v>
      </c>
      <c r="B237" s="2">
        <f>raw!B236*1000000/24/3600</f>
        <v>376.21098761574075</v>
      </c>
    </row>
    <row r="238" spans="1:2" x14ac:dyDescent="0.25">
      <c r="A238" s="3">
        <v>236</v>
      </c>
      <c r="B238" s="2">
        <f>raw!B237*1000000/24/3600</f>
        <v>407.74805115740742</v>
      </c>
    </row>
    <row r="239" spans="1:2" x14ac:dyDescent="0.25">
      <c r="A239" s="3">
        <v>237</v>
      </c>
      <c r="B239" s="2">
        <f>raw!B238*1000000/24/3600</f>
        <v>435.94284849537041</v>
      </c>
    </row>
    <row r="240" spans="1:2" x14ac:dyDescent="0.25">
      <c r="A240" s="3">
        <v>238</v>
      </c>
      <c r="B240" s="2">
        <f>raw!B239*1000000/24/3600</f>
        <v>445.5816340277778</v>
      </c>
    </row>
    <row r="241" spans="1:2" x14ac:dyDescent="0.25">
      <c r="A241" s="3">
        <v>239</v>
      </c>
      <c r="B241" s="2">
        <f>raw!B240*1000000/24/3600</f>
        <v>426.42458055555556</v>
      </c>
    </row>
    <row r="242" spans="1:2" x14ac:dyDescent="0.25">
      <c r="A242" s="3">
        <v>240</v>
      </c>
      <c r="B242" s="2">
        <f>raw!B241*1000000/24/3600</f>
        <v>407.74805115740742</v>
      </c>
    </row>
    <row r="243" spans="1:2" x14ac:dyDescent="0.25">
      <c r="A243" s="3">
        <v>241</v>
      </c>
      <c r="B243" s="2">
        <f>raw!B242*1000000/24/3600</f>
        <v>380.62741018518523</v>
      </c>
    </row>
    <row r="244" spans="1:2" x14ac:dyDescent="0.25">
      <c r="A244" s="3">
        <v>242</v>
      </c>
      <c r="B244" s="2">
        <f>raw!B243*1000000/24/3600</f>
        <v>371.82405636574072</v>
      </c>
    </row>
    <row r="245" spans="1:2" x14ac:dyDescent="0.25">
      <c r="A245" s="3">
        <v>243</v>
      </c>
      <c r="B245" s="2">
        <f>raw!B244*1000000/24/3600</f>
        <v>363.13846608796291</v>
      </c>
    </row>
    <row r="246" spans="1:2" x14ac:dyDescent="0.25">
      <c r="A246" s="3">
        <v>244</v>
      </c>
      <c r="B246" s="2">
        <f>raw!B245*1000000/24/3600</f>
        <v>354.57023576388895</v>
      </c>
    </row>
    <row r="247" spans="1:2" x14ac:dyDescent="0.25">
      <c r="A247" s="3">
        <v>245</v>
      </c>
      <c r="B247" s="2">
        <f>raw!B246*1000000/24/3600</f>
        <v>346.11895891203704</v>
      </c>
    </row>
    <row r="248" spans="1:2" x14ac:dyDescent="0.25">
      <c r="A248" s="3">
        <v>246</v>
      </c>
      <c r="B248" s="2">
        <f>raw!B247*1000000/24/3600</f>
        <v>337.78422604166667</v>
      </c>
    </row>
    <row r="249" spans="1:2" x14ac:dyDescent="0.25">
      <c r="A249" s="3">
        <v>247</v>
      </c>
      <c r="B249" s="2">
        <f>raw!B248*1000000/24/3600</f>
        <v>333.66043506944442</v>
      </c>
    </row>
    <row r="250" spans="1:2" x14ac:dyDescent="0.25">
      <c r="A250" s="3">
        <v>248</v>
      </c>
      <c r="B250" s="2">
        <f>raw!B249*1000000/24/3600</f>
        <v>321.46274201388889</v>
      </c>
    </row>
    <row r="251" spans="1:2" x14ac:dyDescent="0.25">
      <c r="A251" s="3">
        <v>249</v>
      </c>
      <c r="B251" s="2">
        <f>raw!B250*1000000/24/3600</f>
        <v>321.46274201388889</v>
      </c>
    </row>
    <row r="252" spans="1:2" x14ac:dyDescent="0.25">
      <c r="A252" s="3">
        <v>250</v>
      </c>
      <c r="B252" s="2">
        <f>raw!B251*1000000/24/3600</f>
        <v>317.45456388888886</v>
      </c>
    </row>
    <row r="253" spans="1:2" x14ac:dyDescent="0.25">
      <c r="A253" s="3">
        <v>251</v>
      </c>
      <c r="B253" s="2">
        <f>raw!B252*1000000/24/3600</f>
        <v>313.47515810185183</v>
      </c>
    </row>
    <row r="254" spans="1:2" x14ac:dyDescent="0.25">
      <c r="A254" s="3">
        <v>252</v>
      </c>
      <c r="B254" s="2">
        <f>raw!B253*1000000/24/3600</f>
        <v>309.52447199074072</v>
      </c>
    </row>
    <row r="255" spans="1:2" x14ac:dyDescent="0.25">
      <c r="A255" s="3">
        <v>253</v>
      </c>
      <c r="B255" s="2">
        <f>raw!B254*1000000/24/3600</f>
        <v>301.709047337963</v>
      </c>
    </row>
    <row r="256" spans="1:2" x14ac:dyDescent="0.25">
      <c r="A256" s="3">
        <v>254</v>
      </c>
      <c r="B256" s="2">
        <f>raw!B255*1000000/24/3600</f>
        <v>297.84420231481477</v>
      </c>
    </row>
    <row r="257" spans="1:2" x14ac:dyDescent="0.25">
      <c r="A257" s="3">
        <v>255</v>
      </c>
      <c r="B257" s="2">
        <f>raw!B256*1000000/24/3600</f>
        <v>301.709047337963</v>
      </c>
    </row>
    <row r="258" spans="1:2" x14ac:dyDescent="0.25">
      <c r="A258" s="3">
        <v>256</v>
      </c>
      <c r="B258" s="2">
        <f>raw!B257*1000000/24/3600</f>
        <v>297.84420231481477</v>
      </c>
    </row>
    <row r="259" spans="1:2" x14ac:dyDescent="0.25">
      <c r="A259" s="3">
        <v>257</v>
      </c>
      <c r="B259" s="2">
        <f>raw!B258*1000000/24/3600</f>
        <v>294.00786446759264</v>
      </c>
    </row>
    <row r="260" spans="1:2" x14ac:dyDescent="0.25">
      <c r="A260" s="3">
        <v>258</v>
      </c>
      <c r="B260" s="2">
        <f>raw!B259*1000000/24/3600</f>
        <v>286.42049502314813</v>
      </c>
    </row>
    <row r="261" spans="1:2" x14ac:dyDescent="0.25">
      <c r="A261" s="3">
        <v>259</v>
      </c>
      <c r="B261" s="2">
        <f>raw!B260*1000000/24/3600</f>
        <v>286.42049502314813</v>
      </c>
    </row>
    <row r="262" spans="1:2" x14ac:dyDescent="0.25">
      <c r="A262" s="3">
        <v>260</v>
      </c>
      <c r="B262" s="2">
        <f>raw!B261*1000000/24/3600</f>
        <v>282.66935567129627</v>
      </c>
    </row>
    <row r="263" spans="1:2" x14ac:dyDescent="0.25">
      <c r="A263" s="3">
        <v>261</v>
      </c>
      <c r="B263" s="2">
        <f>raw!B262*1000000/24/3600</f>
        <v>282.66935567129627</v>
      </c>
    </row>
    <row r="264" spans="1:2" x14ac:dyDescent="0.25">
      <c r="A264" s="3">
        <v>262</v>
      </c>
      <c r="B264" s="2">
        <f>raw!B263*1000000/24/3600</f>
        <v>278.94650752314817</v>
      </c>
    </row>
    <row r="265" spans="1:2" x14ac:dyDescent="0.25">
      <c r="A265" s="3">
        <v>263</v>
      </c>
      <c r="B265" s="2">
        <f>raw!B264*1000000/24/3600</f>
        <v>278.94650752314817</v>
      </c>
    </row>
    <row r="266" spans="1:2" x14ac:dyDescent="0.25">
      <c r="A266" s="3">
        <v>264</v>
      </c>
      <c r="B266" s="2">
        <f>raw!B265*1000000/24/3600</f>
        <v>275.25189618055555</v>
      </c>
    </row>
    <row r="267" spans="1:2" x14ac:dyDescent="0.25">
      <c r="A267" s="3">
        <v>265</v>
      </c>
      <c r="B267" s="2">
        <f>raw!B266*1000000/24/3600</f>
        <v>278.94650752314817</v>
      </c>
    </row>
    <row r="268" spans="1:2" x14ac:dyDescent="0.25">
      <c r="A268" s="3">
        <v>266</v>
      </c>
      <c r="B268" s="2">
        <f>raw!B267*1000000/24/3600</f>
        <v>278.94650752314817</v>
      </c>
    </row>
    <row r="269" spans="1:2" x14ac:dyDescent="0.25">
      <c r="A269" s="3">
        <v>267</v>
      </c>
      <c r="B269" s="2">
        <f>raw!B268*1000000/24/3600</f>
        <v>282.66935567129627</v>
      </c>
    </row>
    <row r="270" spans="1:2" x14ac:dyDescent="0.25">
      <c r="A270" s="3">
        <v>268</v>
      </c>
      <c r="B270" s="2">
        <f>raw!B269*1000000/24/3600</f>
        <v>278.94650752314817</v>
      </c>
    </row>
    <row r="271" spans="1:2" x14ac:dyDescent="0.25">
      <c r="A271" s="3">
        <v>269</v>
      </c>
      <c r="B271" s="2">
        <f>raw!B270*1000000/24/3600</f>
        <v>278.94650752314817</v>
      </c>
    </row>
    <row r="272" spans="1:2" x14ac:dyDescent="0.25">
      <c r="A272" s="3">
        <v>270</v>
      </c>
      <c r="B272" s="2">
        <f>raw!B271*1000000/24/3600</f>
        <v>286.42049502314813</v>
      </c>
    </row>
    <row r="273" spans="1:2" x14ac:dyDescent="0.25">
      <c r="A273" s="3">
        <v>271</v>
      </c>
      <c r="B273" s="2">
        <f>raw!B272*1000000/24/3600</f>
        <v>290.19997997685186</v>
      </c>
    </row>
    <row r="274" spans="1:2" x14ac:dyDescent="0.25">
      <c r="A274" s="3">
        <v>272</v>
      </c>
      <c r="B274" s="2">
        <f>raw!B273*1000000/24/3600</f>
        <v>286.42049502314813</v>
      </c>
    </row>
    <row r="275" spans="1:2" x14ac:dyDescent="0.25">
      <c r="A275" s="3">
        <v>273</v>
      </c>
      <c r="B275" s="2">
        <f>raw!B274*1000000/24/3600</f>
        <v>294.00786446759264</v>
      </c>
    </row>
    <row r="276" spans="1:2" x14ac:dyDescent="0.25">
      <c r="A276" s="3">
        <v>274</v>
      </c>
      <c r="B276" s="2">
        <f>raw!B275*1000000/24/3600</f>
        <v>313.47515810185183</v>
      </c>
    </row>
    <row r="277" spans="1:2" x14ac:dyDescent="0.25">
      <c r="A277" s="3">
        <v>275</v>
      </c>
      <c r="B277" s="2">
        <f>raw!B276*1000000/24/3600</f>
        <v>325.4997451388889</v>
      </c>
    </row>
    <row r="278" spans="1:2" x14ac:dyDescent="0.25">
      <c r="A278" s="3">
        <v>276</v>
      </c>
      <c r="B278" s="2">
        <f>raw!B277*1000000/24/3600</f>
        <v>317.45456388888886</v>
      </c>
    </row>
    <row r="279" spans="1:2" x14ac:dyDescent="0.25">
      <c r="A279" s="3">
        <v>277</v>
      </c>
      <c r="B279" s="2">
        <f>raw!B278*1000000/24/3600</f>
        <v>309.52447199074072</v>
      </c>
    </row>
    <row r="280" spans="1:2" x14ac:dyDescent="0.25">
      <c r="A280" s="3">
        <v>278</v>
      </c>
      <c r="B280" s="2">
        <f>raw!B279*1000000/24/3600</f>
        <v>301.709047337963</v>
      </c>
    </row>
    <row r="281" spans="1:2" x14ac:dyDescent="0.25">
      <c r="A281" s="3">
        <v>279</v>
      </c>
      <c r="B281" s="2">
        <f>raw!B280*1000000/24/3600</f>
        <v>301.709047337963</v>
      </c>
    </row>
    <row r="282" spans="1:2" x14ac:dyDescent="0.25">
      <c r="A282" s="3">
        <v>280</v>
      </c>
      <c r="B282" s="2">
        <f>raw!B281*1000000/24/3600</f>
        <v>294.00786446759264</v>
      </c>
    </row>
    <row r="283" spans="1:2" x14ac:dyDescent="0.25">
      <c r="A283" s="3">
        <v>281</v>
      </c>
      <c r="B283" s="2">
        <f>raw!B282*1000000/24/3600</f>
        <v>290.19997997685186</v>
      </c>
    </row>
    <row r="284" spans="1:2" x14ac:dyDescent="0.25">
      <c r="A284" s="3">
        <v>282</v>
      </c>
      <c r="B284" s="2">
        <f>raw!B283*1000000/24/3600</f>
        <v>301.709047337963</v>
      </c>
    </row>
    <row r="285" spans="1:2" x14ac:dyDescent="0.25">
      <c r="A285" s="3">
        <v>283</v>
      </c>
      <c r="B285" s="2">
        <f>raw!B284*1000000/24/3600</f>
        <v>333.66043506944442</v>
      </c>
    </row>
    <row r="286" spans="1:2" x14ac:dyDescent="0.25">
      <c r="A286" s="3">
        <v>284</v>
      </c>
      <c r="B286" s="2">
        <f>raw!B285*1000000/24/3600</f>
        <v>301.709047337963</v>
      </c>
    </row>
    <row r="287" spans="1:2" x14ac:dyDescent="0.25">
      <c r="A287" s="3">
        <v>285</v>
      </c>
      <c r="B287" s="2">
        <f>raw!B286*1000000/24/3600</f>
        <v>301.709047337963</v>
      </c>
    </row>
    <row r="288" spans="1:2" x14ac:dyDescent="0.25">
      <c r="A288" s="3">
        <v>286</v>
      </c>
      <c r="B288" s="2">
        <f>raw!B287*1000000/24/3600</f>
        <v>317.45456388888886</v>
      </c>
    </row>
    <row r="289" spans="1:2" x14ac:dyDescent="0.25">
      <c r="A289" s="3">
        <v>287</v>
      </c>
      <c r="B289" s="2">
        <f>raw!B288*1000000/24/3600</f>
        <v>317.45456388888886</v>
      </c>
    </row>
    <row r="290" spans="1:2" x14ac:dyDescent="0.25">
      <c r="A290" s="3">
        <v>288</v>
      </c>
      <c r="B290" s="2">
        <f>raw!B289*1000000/24/3600</f>
        <v>321.46274201388889</v>
      </c>
    </row>
    <row r="291" spans="1:2" x14ac:dyDescent="0.25">
      <c r="A291" s="3">
        <v>289</v>
      </c>
      <c r="B291" s="2">
        <f>raw!B290*1000000/24/3600</f>
        <v>309.52447199074072</v>
      </c>
    </row>
    <row r="292" spans="1:2" x14ac:dyDescent="0.25">
      <c r="A292" s="3">
        <v>290</v>
      </c>
      <c r="B292" s="2">
        <f>raw!B291*1000000/24/3600</f>
        <v>317.45456388888886</v>
      </c>
    </row>
    <row r="293" spans="1:2" x14ac:dyDescent="0.25">
      <c r="A293" s="3">
        <v>291</v>
      </c>
      <c r="B293" s="2">
        <f>raw!B292*1000000/24/3600</f>
        <v>305.60245277777778</v>
      </c>
    </row>
    <row r="294" spans="1:2" x14ac:dyDescent="0.25">
      <c r="A294" s="3">
        <v>292</v>
      </c>
      <c r="B294" s="2">
        <f>raw!B293*1000000/24/3600</f>
        <v>286.42049502314813</v>
      </c>
    </row>
    <row r="295" spans="1:2" x14ac:dyDescent="0.25">
      <c r="A295" s="3">
        <v>293</v>
      </c>
      <c r="B295" s="2">
        <f>raw!B294*1000000/24/3600</f>
        <v>286.42049502314813</v>
      </c>
    </row>
    <row r="296" spans="1:2" x14ac:dyDescent="0.25">
      <c r="A296" s="3">
        <v>294</v>
      </c>
      <c r="B296" s="2">
        <f>raw!B295*1000000/24/3600</f>
        <v>278.94650752314817</v>
      </c>
    </row>
    <row r="297" spans="1:2" x14ac:dyDescent="0.25">
      <c r="A297" s="3">
        <v>295</v>
      </c>
      <c r="B297" s="2">
        <f>raw!B296*1000000/24/3600</f>
        <v>275.25189618055555</v>
      </c>
    </row>
    <row r="298" spans="1:2" x14ac:dyDescent="0.25">
      <c r="A298" s="3">
        <v>296</v>
      </c>
      <c r="B298" s="2">
        <f>raw!B297*1000000/24/3600</f>
        <v>275.25189618055555</v>
      </c>
    </row>
    <row r="299" spans="1:2" x14ac:dyDescent="0.25">
      <c r="A299" s="3">
        <v>297</v>
      </c>
      <c r="B299" s="2">
        <f>raw!B298*1000000/24/3600</f>
        <v>267.9471652777778</v>
      </c>
    </row>
    <row r="300" spans="1:2" x14ac:dyDescent="0.25">
      <c r="A300" s="3">
        <v>298</v>
      </c>
      <c r="B300" s="2">
        <f>raw!B299*1000000/24/3600</f>
        <v>260.75472326388888</v>
      </c>
    </row>
    <row r="301" spans="1:2" x14ac:dyDescent="0.25">
      <c r="A301" s="3">
        <v>299</v>
      </c>
      <c r="B301" s="2">
        <f>raw!B300*1000000/24/3600</f>
        <v>246.70492986111108</v>
      </c>
    </row>
    <row r="302" spans="1:2" x14ac:dyDescent="0.25">
      <c r="A302" s="3">
        <v>300</v>
      </c>
      <c r="B302" s="2">
        <f>raw!B301*1000000/24/3600</f>
        <v>243.26196562500002</v>
      </c>
    </row>
    <row r="303" spans="1:2" x14ac:dyDescent="0.25">
      <c r="A303" s="3">
        <v>301</v>
      </c>
      <c r="B303" s="2">
        <f>raw!B302*1000000/24/3600</f>
        <v>243.26196562500002</v>
      </c>
    </row>
    <row r="304" spans="1:2" x14ac:dyDescent="0.25">
      <c r="A304" s="3">
        <v>302</v>
      </c>
      <c r="B304" s="2">
        <f>raw!B303*1000000/24/3600</f>
        <v>250.17563159722224</v>
      </c>
    </row>
    <row r="305" spans="1:2" x14ac:dyDescent="0.25">
      <c r="A305" s="3">
        <v>303</v>
      </c>
      <c r="B305" s="2">
        <f>raw!B304*1000000/24/3600</f>
        <v>257.20047222222223</v>
      </c>
    </row>
    <row r="306" spans="1:2" x14ac:dyDescent="0.25">
      <c r="A306" s="3">
        <v>304</v>
      </c>
      <c r="B306" s="2">
        <f>raw!B305*1000000/24/3600</f>
        <v>305.60245277777778</v>
      </c>
    </row>
    <row r="307" spans="1:2" x14ac:dyDescent="0.25">
      <c r="A307" s="3">
        <v>305</v>
      </c>
      <c r="B307" s="2">
        <f>raw!B306*1000000/24/3600</f>
        <v>380.62741018518523</v>
      </c>
    </row>
    <row r="308" spans="1:2" x14ac:dyDescent="0.25">
      <c r="A308" s="3">
        <v>306</v>
      </c>
      <c r="B308" s="2">
        <f>raw!B307*1000000/24/3600</f>
        <v>337.78422604166667</v>
      </c>
    </row>
    <row r="309" spans="1:2" x14ac:dyDescent="0.25">
      <c r="A309" s="3">
        <v>307</v>
      </c>
      <c r="B309" s="2">
        <f>raw!B308*1000000/24/3600</f>
        <v>329.565625462963</v>
      </c>
    </row>
    <row r="310" spans="1:2" x14ac:dyDescent="0.25">
      <c r="A310" s="3">
        <v>308</v>
      </c>
      <c r="B310" s="2">
        <f>raw!B309*1000000/24/3600</f>
        <v>325.4997451388889</v>
      </c>
    </row>
    <row r="311" spans="1:2" x14ac:dyDescent="0.25">
      <c r="A311" s="3">
        <v>309</v>
      </c>
      <c r="B311" s="2">
        <f>raw!B310*1000000/24/3600</f>
        <v>297.84420231481477</v>
      </c>
    </row>
    <row r="312" spans="1:2" x14ac:dyDescent="0.25">
      <c r="A312" s="3">
        <v>310</v>
      </c>
      <c r="B312" s="2">
        <f>raw!B311*1000000/24/3600</f>
        <v>294.00786446759264</v>
      </c>
    </row>
    <row r="313" spans="1:2" x14ac:dyDescent="0.25">
      <c r="A313" s="3">
        <v>311</v>
      </c>
      <c r="B313" s="2">
        <f>raw!B312*1000000/24/3600</f>
        <v>290.19997997685186</v>
      </c>
    </row>
    <row r="314" spans="1:2" x14ac:dyDescent="0.25">
      <c r="A314" s="3">
        <v>312</v>
      </c>
      <c r="B314" s="2">
        <f>raw!B313*1000000/24/3600</f>
        <v>264.3369357638889</v>
      </c>
    </row>
    <row r="315" spans="1:2" x14ac:dyDescent="0.25">
      <c r="A315" s="3">
        <v>313</v>
      </c>
      <c r="B315" s="2">
        <f>raw!B314*1000000/24/3600</f>
        <v>271.58546712962965</v>
      </c>
    </row>
    <row r="316" spans="1:2" x14ac:dyDescent="0.25">
      <c r="A316" s="3">
        <v>314</v>
      </c>
      <c r="B316" s="2">
        <f>raw!B315*1000000/24/3600</f>
        <v>329.565625462963</v>
      </c>
    </row>
    <row r="317" spans="1:2" x14ac:dyDescent="0.25">
      <c r="A317" s="3">
        <v>315</v>
      </c>
      <c r="B317" s="2">
        <f>raw!B316*1000000/24/3600</f>
        <v>329.565625462963</v>
      </c>
    </row>
    <row r="318" spans="1:2" x14ac:dyDescent="0.25">
      <c r="A318" s="3">
        <v>316</v>
      </c>
      <c r="B318" s="2">
        <f>raw!B317*1000000/24/3600</f>
        <v>325.4997451388889</v>
      </c>
    </row>
    <row r="319" spans="1:2" x14ac:dyDescent="0.25">
      <c r="A319" s="3">
        <v>317</v>
      </c>
      <c r="B319" s="2">
        <f>raw!B318*1000000/24/3600</f>
        <v>329.565625462963</v>
      </c>
    </row>
    <row r="320" spans="1:2" x14ac:dyDescent="0.25">
      <c r="A320" s="3">
        <v>318</v>
      </c>
      <c r="B320" s="2">
        <f>raw!B319*1000000/24/3600</f>
        <v>301.709047337963</v>
      </c>
    </row>
    <row r="321" spans="1:2" x14ac:dyDescent="0.25">
      <c r="A321" s="3">
        <v>319</v>
      </c>
      <c r="B321" s="2">
        <f>raw!B320*1000000/24/3600</f>
        <v>317.45456388888886</v>
      </c>
    </row>
    <row r="322" spans="1:2" x14ac:dyDescent="0.25">
      <c r="A322" s="3">
        <v>320</v>
      </c>
      <c r="B322" s="2">
        <f>raw!B321*1000000/24/3600</f>
        <v>325.4997451388889</v>
      </c>
    </row>
    <row r="323" spans="1:2" x14ac:dyDescent="0.25">
      <c r="A323" s="3">
        <v>321</v>
      </c>
      <c r="B323" s="2">
        <f>raw!B322*1000000/24/3600</f>
        <v>371.82405636574072</v>
      </c>
    </row>
    <row r="324" spans="1:2" x14ac:dyDescent="0.25">
      <c r="A324" s="3">
        <v>322</v>
      </c>
      <c r="B324" s="2">
        <f>raw!B323*1000000/24/3600</f>
        <v>385.07337384259256</v>
      </c>
    </row>
    <row r="325" spans="1:2" x14ac:dyDescent="0.25">
      <c r="A325" s="3">
        <v>323</v>
      </c>
      <c r="B325" s="2">
        <f>raw!B324*1000000/24/3600</f>
        <v>505.96653287037037</v>
      </c>
    </row>
    <row r="326" spans="1:2" x14ac:dyDescent="0.25">
      <c r="A326" s="3">
        <v>324</v>
      </c>
      <c r="B326" s="2">
        <f>raw!B325*1000000/24/3600</f>
        <v>658.16105810185184</v>
      </c>
    </row>
    <row r="327" spans="1:2" x14ac:dyDescent="0.25">
      <c r="A327" s="3">
        <v>325</v>
      </c>
      <c r="B327" s="2">
        <f>raw!B326*1000000/24/3600</f>
        <v>593.38964837962953</v>
      </c>
    </row>
    <row r="328" spans="1:2" x14ac:dyDescent="0.25">
      <c r="A328" s="3">
        <v>326</v>
      </c>
      <c r="B328" s="2">
        <f>raw!B327*1000000/24/3600</f>
        <v>521.75235960648138</v>
      </c>
    </row>
    <row r="329" spans="1:2" x14ac:dyDescent="0.25">
      <c r="A329" s="3">
        <v>327</v>
      </c>
      <c r="B329" s="2">
        <f>raw!B328*1000000/24/3600</f>
        <v>485.34958784722227</v>
      </c>
    </row>
    <row r="330" spans="1:2" x14ac:dyDescent="0.25">
      <c r="A330" s="3">
        <v>328</v>
      </c>
      <c r="B330" s="2">
        <f>raw!B329*1000000/24/3600</f>
        <v>480.27197557870369</v>
      </c>
    </row>
    <row r="331" spans="1:2" x14ac:dyDescent="0.25">
      <c r="A331" s="3">
        <v>329</v>
      </c>
      <c r="B331" s="2">
        <f>raw!B330*1000000/24/3600</f>
        <v>445.5816340277778</v>
      </c>
    </row>
    <row r="332" spans="1:2" x14ac:dyDescent="0.25">
      <c r="A332" s="3">
        <v>330</v>
      </c>
      <c r="B332" s="2">
        <f>raw!B331*1000000/24/3600</f>
        <v>417.02644421296299</v>
      </c>
    </row>
    <row r="333" spans="1:2" x14ac:dyDescent="0.25">
      <c r="A333" s="3">
        <v>331</v>
      </c>
      <c r="B333" s="2">
        <f>raw!B332*1000000/24/3600</f>
        <v>570.78476643518513</v>
      </c>
    </row>
    <row r="334" spans="1:2" x14ac:dyDescent="0.25">
      <c r="A334" s="3">
        <v>332</v>
      </c>
      <c r="B334" s="2">
        <f>raw!B333*1000000/24/3600</f>
        <v>720.40127777777775</v>
      </c>
    </row>
    <row r="335" spans="1:2" x14ac:dyDescent="0.25">
      <c r="A335" s="3">
        <v>333</v>
      </c>
      <c r="B335" s="2">
        <f>raw!B334*1000000/24/3600</f>
        <v>726.80286504629623</v>
      </c>
    </row>
    <row r="336" spans="1:2" x14ac:dyDescent="0.25">
      <c r="A336" s="3">
        <v>334</v>
      </c>
      <c r="B336" s="2">
        <f>raw!B335*1000000/24/3600</f>
        <v>714.0321011574074</v>
      </c>
    </row>
    <row r="337" spans="1:2" x14ac:dyDescent="0.25">
      <c r="A337" s="3">
        <v>335</v>
      </c>
      <c r="B337" s="2">
        <f>raw!B336*1000000/24/3600</f>
        <v>847.62068148148137</v>
      </c>
    </row>
    <row r="338" spans="1:2" x14ac:dyDescent="0.25">
      <c r="A338" s="3">
        <v>336</v>
      </c>
      <c r="B338" s="2">
        <f>raw!B337*1000000/24/3600</f>
        <v>1057.0136504629629</v>
      </c>
    </row>
    <row r="339" spans="1:2" x14ac:dyDescent="0.25">
      <c r="A339" s="3">
        <v>337</v>
      </c>
      <c r="B339" s="2">
        <f>raw!B338*1000000/24/3600</f>
        <v>1025.4750165509258</v>
      </c>
    </row>
    <row r="340" spans="1:2" x14ac:dyDescent="0.25">
      <c r="A340" s="3">
        <v>338</v>
      </c>
      <c r="B340" s="2">
        <f>raw!B339*1000000/24/3600</f>
        <v>949.01128541666662</v>
      </c>
    </row>
    <row r="341" spans="1:2" x14ac:dyDescent="0.25">
      <c r="A341" s="3">
        <v>339</v>
      </c>
      <c r="B341" s="2">
        <f>raw!B340*1000000/24/3600</f>
        <v>1338.3448784722223</v>
      </c>
    </row>
    <row r="342" spans="1:2" x14ac:dyDescent="0.25">
      <c r="A342" s="3">
        <v>340</v>
      </c>
      <c r="B342" s="2">
        <f>raw!B341*1000000/24/3600</f>
        <v>1171.7321608796296</v>
      </c>
    </row>
    <row r="343" spans="1:2" x14ac:dyDescent="0.25">
      <c r="A343" s="3">
        <v>341</v>
      </c>
      <c r="B343" s="2">
        <f>raw!B342*1000000/24/3600</f>
        <v>1658.2883321759257</v>
      </c>
    </row>
    <row r="344" spans="1:2" x14ac:dyDescent="0.25">
      <c r="A344" s="3">
        <v>342</v>
      </c>
      <c r="B344" s="2">
        <f>raw!B343*1000000/24/3600</f>
        <v>1498.2632881944444</v>
      </c>
    </row>
    <row r="345" spans="1:2" x14ac:dyDescent="0.25">
      <c r="A345" s="3">
        <v>343</v>
      </c>
      <c r="B345" s="2">
        <f>raw!B344*1000000/24/3600</f>
        <v>1393.6076111111113</v>
      </c>
    </row>
    <row r="346" spans="1:2" x14ac:dyDescent="0.25">
      <c r="A346" s="3">
        <v>344</v>
      </c>
      <c r="B346" s="2">
        <f>raw!B345*1000000/24/3600</f>
        <v>1171.7321608796296</v>
      </c>
    </row>
    <row r="347" spans="1:2" x14ac:dyDescent="0.25">
      <c r="A347" s="3">
        <v>345</v>
      </c>
      <c r="B347" s="2">
        <f>raw!B346*1000000/24/3600</f>
        <v>994.48225057870366</v>
      </c>
    </row>
    <row r="348" spans="1:2" x14ac:dyDescent="0.25">
      <c r="A348" s="3">
        <v>346</v>
      </c>
      <c r="B348" s="2">
        <f>raw!B347*1000000/24/3600</f>
        <v>1311.1927291666668</v>
      </c>
    </row>
    <row r="349" spans="1:2" x14ac:dyDescent="0.25">
      <c r="A349" s="3">
        <v>347</v>
      </c>
      <c r="B349" s="2">
        <f>raw!B348*1000000/24/3600</f>
        <v>1146.5791111111112</v>
      </c>
    </row>
    <row r="350" spans="1:2" x14ac:dyDescent="0.25">
      <c r="A350" s="3">
        <v>348</v>
      </c>
      <c r="B350" s="2">
        <f>raw!B349*1000000/24/3600</f>
        <v>1188.6747210648145</v>
      </c>
    </row>
    <row r="351" spans="1:2" x14ac:dyDescent="0.25">
      <c r="A351" s="3">
        <v>349</v>
      </c>
      <c r="B351" s="2">
        <f>raw!B350*1000000/24/3600</f>
        <v>1488.5695717592594</v>
      </c>
    </row>
    <row r="352" spans="1:2" x14ac:dyDescent="0.25">
      <c r="A352" s="3">
        <v>350</v>
      </c>
      <c r="B352" s="2">
        <f>raw!B351*1000000/24/3600</f>
        <v>1507.9930520833332</v>
      </c>
    </row>
    <row r="353" spans="1:2" x14ac:dyDescent="0.25">
      <c r="A353" s="3">
        <v>351</v>
      </c>
      <c r="B353" s="2">
        <f>raw!B352*1000000/24/3600</f>
        <v>1699.75265625</v>
      </c>
    </row>
    <row r="354" spans="1:2" x14ac:dyDescent="0.25">
      <c r="A354" s="3">
        <v>352</v>
      </c>
      <c r="B354" s="2">
        <f>raw!B353*1000000/24/3600</f>
        <v>1871.5053437500003</v>
      </c>
    </row>
    <row r="355" spans="1:2" x14ac:dyDescent="0.25">
      <c r="A355" s="3">
        <v>353</v>
      </c>
      <c r="B355" s="2">
        <f>raw!B354*1000000/24/3600</f>
        <v>1648.0137951388886</v>
      </c>
    </row>
    <row r="356" spans="1:2" x14ac:dyDescent="0.25">
      <c r="A356" s="3">
        <v>354</v>
      </c>
      <c r="B356" s="2">
        <f>raw!B355*1000000/24/3600</f>
        <v>1838.5796319444444</v>
      </c>
    </row>
    <row r="357" spans="1:2" x14ac:dyDescent="0.25">
      <c r="A357" s="3">
        <v>355</v>
      </c>
      <c r="B357" s="2">
        <f>raw!B356*1000000/24/3600</f>
        <v>1827.6787118055558</v>
      </c>
    </row>
    <row r="358" spans="1:2" x14ac:dyDescent="0.25">
      <c r="A358" s="3">
        <v>356</v>
      </c>
      <c r="B358" s="2">
        <f>raw!B357*1000000/24/3600</f>
        <v>1960.9478310185184</v>
      </c>
    </row>
    <row r="359" spans="1:2" x14ac:dyDescent="0.25">
      <c r="A359" s="3">
        <v>357</v>
      </c>
      <c r="B359" s="2">
        <f>raw!B358*1000000/24/3600</f>
        <v>1689.3315833333334</v>
      </c>
    </row>
    <row r="360" spans="1:2" x14ac:dyDescent="0.25">
      <c r="A360" s="3">
        <v>358</v>
      </c>
      <c r="B360" s="2">
        <f>raw!B359*1000000/24/3600</f>
        <v>1927.1266168981483</v>
      </c>
    </row>
    <row r="361" spans="1:2" x14ac:dyDescent="0.25">
      <c r="A361" s="3">
        <v>359</v>
      </c>
      <c r="B361" s="2">
        <f>raw!B360*1000000/24/3600</f>
        <v>1938.3629212962962</v>
      </c>
    </row>
    <row r="362" spans="1:2" x14ac:dyDescent="0.25">
      <c r="A362" s="3">
        <v>360</v>
      </c>
      <c r="B362" s="2">
        <f>raw!B361*1000000/24/3600</f>
        <v>1949.636648148148</v>
      </c>
    </row>
    <row r="363" spans="1:2" x14ac:dyDescent="0.25">
      <c r="A363" s="3">
        <v>361</v>
      </c>
      <c r="B363" s="2">
        <f>raw!B362*1000000/24/3600</f>
        <v>2641.6459583333331</v>
      </c>
    </row>
    <row r="364" spans="1:2" x14ac:dyDescent="0.25">
      <c r="A364" s="3">
        <v>362</v>
      </c>
      <c r="B364" s="2">
        <f>raw!B363*1000000/24/3600</f>
        <v>2219.333216435185</v>
      </c>
    </row>
    <row r="365" spans="1:2" x14ac:dyDescent="0.25">
      <c r="A365" s="3">
        <v>363</v>
      </c>
      <c r="B365" s="2">
        <f>raw!B364*1000000/24/3600</f>
        <v>3394.0090358796297</v>
      </c>
    </row>
    <row r="366" spans="1:2" x14ac:dyDescent="0.25">
      <c r="A366" s="3">
        <v>364</v>
      </c>
      <c r="B366" s="2">
        <f>raw!B365*1000000/24/3600</f>
        <v>2709.3255671296292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D9E9-1532-4084-98DA-CDEEEC6457B8}">
  <dimension ref="A1:B11"/>
  <sheetViews>
    <sheetView workbookViewId="0">
      <selection activeCell="D9" sqref="D9"/>
    </sheetView>
  </sheetViews>
  <sheetFormatPr defaultRowHeight="15" x14ac:dyDescent="0.25"/>
  <cols>
    <col min="2" max="2" width="1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3">
        <f>converted!A54</f>
        <v>52</v>
      </c>
      <c r="B2" s="3">
        <f>converted!B54</f>
        <v>5889.8847835648139</v>
      </c>
    </row>
    <row r="3" spans="1:2" x14ac:dyDescent="0.25">
      <c r="A3" s="3">
        <f>converted!A55</f>
        <v>53</v>
      </c>
      <c r="B3" s="3">
        <f>converted!B55</f>
        <v>5953.8898923611114</v>
      </c>
    </row>
    <row r="4" spans="1:2" x14ac:dyDescent="0.25">
      <c r="A4" s="3">
        <f>converted!A56</f>
        <v>54</v>
      </c>
      <c r="B4" s="3">
        <f>converted!B56</f>
        <v>9089.1371319444443</v>
      </c>
    </row>
    <row r="5" spans="1:2" x14ac:dyDescent="0.25">
      <c r="A5" s="3">
        <f>converted!A57</f>
        <v>55</v>
      </c>
      <c r="B5" s="3">
        <f>converted!B57</f>
        <v>11052.679579861111</v>
      </c>
    </row>
    <row r="6" spans="1:2" x14ac:dyDescent="0.25">
      <c r="A6" s="3">
        <f>converted!A58</f>
        <v>56</v>
      </c>
      <c r="B6" s="3">
        <f>converted!B58</f>
        <v>10101.276452546295</v>
      </c>
    </row>
    <row r="7" spans="1:2" x14ac:dyDescent="0.25">
      <c r="A7" s="3">
        <f>converted!A59</f>
        <v>57</v>
      </c>
      <c r="B7" s="3">
        <f>converted!B59</f>
        <v>9198.5817476851862</v>
      </c>
    </row>
    <row r="8" spans="1:2" x14ac:dyDescent="0.25">
      <c r="A8" s="3">
        <f>converted!A60</f>
        <v>58</v>
      </c>
      <c r="B8" s="3">
        <f>converted!B60</f>
        <v>8632.3433182870376</v>
      </c>
    </row>
    <row r="9" spans="1:2" x14ac:dyDescent="0.25">
      <c r="A9" s="3">
        <f>converted!A61</f>
        <v>59</v>
      </c>
      <c r="B9" s="3">
        <f>converted!B61</f>
        <v>7684.453342592592</v>
      </c>
    </row>
    <row r="10" spans="1:2" x14ac:dyDescent="0.25">
      <c r="A10" s="3">
        <f>converted!A62</f>
        <v>60</v>
      </c>
      <c r="B10" s="3">
        <f>converted!B62</f>
        <v>6148.2864722222221</v>
      </c>
    </row>
    <row r="11" spans="1:2" x14ac:dyDescent="0.25">
      <c r="A11" s="3">
        <f>converted!A63</f>
        <v>61</v>
      </c>
      <c r="B11" s="3">
        <f>converted!B63</f>
        <v>5493.6855312500002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CA8B-92BB-440E-A4D0-48670A3F668B}">
  <dimension ref="A1:E22"/>
  <sheetViews>
    <sheetView workbookViewId="0">
      <selection activeCell="J20" sqref="J20"/>
    </sheetView>
  </sheetViews>
  <sheetFormatPr defaultRowHeight="15" x14ac:dyDescent="0.25"/>
  <cols>
    <col min="2" max="2" width="17.42578125" bestFit="1" customWidth="1"/>
    <col min="4" max="4" width="16.7109375" bestFit="1" customWidth="1"/>
  </cols>
  <sheetData>
    <row r="1" spans="1:5" x14ac:dyDescent="0.25">
      <c r="A1" s="2" t="s">
        <v>0</v>
      </c>
      <c r="B1" s="2" t="s">
        <v>1</v>
      </c>
      <c r="D1" t="s">
        <v>2</v>
      </c>
      <c r="E1">
        <v>1500</v>
      </c>
    </row>
    <row r="2" spans="1:5" x14ac:dyDescent="0.25">
      <c r="A2" s="3">
        <v>49</v>
      </c>
      <c r="B2" s="2">
        <f>E$1+(B$5-E$1)*EXP((A2-A$2-E$2)/E$4)</f>
        <v>2094.1063005598403</v>
      </c>
      <c r="D2" t="s">
        <v>3</v>
      </c>
      <c r="E2">
        <v>3</v>
      </c>
    </row>
    <row r="3" spans="1:5" x14ac:dyDescent="0.25">
      <c r="A3" s="3">
        <v>50</v>
      </c>
      <c r="B3" s="2">
        <f t="shared" ref="B3:B4" si="0">E$1+(B$5-E$1)*EXP((A3-A$2-E$2)/E$4)</f>
        <v>2657.1610656054618</v>
      </c>
      <c r="D3" t="s">
        <v>4</v>
      </c>
      <c r="E3">
        <v>4</v>
      </c>
    </row>
    <row r="4" spans="1:5" x14ac:dyDescent="0.25">
      <c r="A4" s="3">
        <v>51</v>
      </c>
      <c r="B4" s="2">
        <f t="shared" si="0"/>
        <v>3753.8419984628604</v>
      </c>
      <c r="D4" t="s">
        <v>5</v>
      </c>
      <c r="E4">
        <f>E2/2</f>
        <v>1.5</v>
      </c>
    </row>
    <row r="5" spans="1:5" x14ac:dyDescent="0.25">
      <c r="A5" s="3">
        <f>'event window'!A2</f>
        <v>52</v>
      </c>
      <c r="B5" s="2">
        <f>'event window'!B2</f>
        <v>5889.8847835648139</v>
      </c>
      <c r="D5" t="s">
        <v>6</v>
      </c>
      <c r="E5">
        <f>E3/2</f>
        <v>2</v>
      </c>
    </row>
    <row r="6" spans="1:5" x14ac:dyDescent="0.25">
      <c r="A6" s="3">
        <f>'event window'!A3</f>
        <v>53</v>
      </c>
      <c r="B6" s="2">
        <f>'event window'!B3</f>
        <v>5953.8898923611114</v>
      </c>
    </row>
    <row r="7" spans="1:5" x14ac:dyDescent="0.25">
      <c r="A7" s="3">
        <f>'event window'!A4</f>
        <v>54</v>
      </c>
      <c r="B7" s="2">
        <f>'event window'!B4</f>
        <v>9089.1371319444443</v>
      </c>
    </row>
    <row r="8" spans="1:5" x14ac:dyDescent="0.25">
      <c r="A8" s="3">
        <f>'event window'!A5</f>
        <v>55</v>
      </c>
      <c r="B8" s="2">
        <f>'event window'!B5</f>
        <v>11052.679579861111</v>
      </c>
    </row>
    <row r="9" spans="1:5" x14ac:dyDescent="0.25">
      <c r="A9" s="3">
        <f>'event window'!A6</f>
        <v>56</v>
      </c>
      <c r="B9" s="2">
        <f>'event window'!B6</f>
        <v>10101.276452546295</v>
      </c>
    </row>
    <row r="10" spans="1:5" x14ac:dyDescent="0.25">
      <c r="A10" s="3">
        <f>'event window'!A7</f>
        <v>57</v>
      </c>
      <c r="B10" s="2">
        <f>'event window'!B7</f>
        <v>9198.5817476851862</v>
      </c>
    </row>
    <row r="11" spans="1:5" x14ac:dyDescent="0.25">
      <c r="A11" s="3">
        <f>'event window'!A8</f>
        <v>58</v>
      </c>
      <c r="B11" s="2">
        <f>'event window'!B8</f>
        <v>8632.3433182870376</v>
      </c>
    </row>
    <row r="12" spans="1:5" x14ac:dyDescent="0.25">
      <c r="A12" s="3">
        <f>'event window'!A9</f>
        <v>59</v>
      </c>
      <c r="B12" s="2">
        <f>'event window'!B9</f>
        <v>7684.453342592592</v>
      </c>
    </row>
    <row r="13" spans="1:5" x14ac:dyDescent="0.25">
      <c r="A13" s="3">
        <f>'event window'!A10</f>
        <v>60</v>
      </c>
      <c r="B13" s="2">
        <f>'event window'!B10</f>
        <v>6148.2864722222221</v>
      </c>
    </row>
    <row r="14" spans="1:5" x14ac:dyDescent="0.25">
      <c r="A14" s="3">
        <f>'event window'!A11</f>
        <v>61</v>
      </c>
      <c r="B14" s="2">
        <f>'event window'!B11</f>
        <v>5493.6855312500002</v>
      </c>
    </row>
    <row r="15" spans="1:5" x14ac:dyDescent="0.25">
      <c r="A15" s="3">
        <v>62</v>
      </c>
      <c r="B15" s="2">
        <f>E$1+(B$14-E$1)*EXP(-(A14-A$13)/E$5)</f>
        <v>3922.2927199538617</v>
      </c>
    </row>
    <row r="16" spans="1:5" x14ac:dyDescent="0.25">
      <c r="A16" s="3">
        <v>63</v>
      </c>
      <c r="B16" s="2">
        <f t="shared" ref="B16:B18" si="1">E$1+(B$14-E$1)*EXP(-(A15-A$13)/E$5)</f>
        <v>2969.1948014507248</v>
      </c>
    </row>
    <row r="17" spans="1:2" x14ac:dyDescent="0.25">
      <c r="A17" s="3">
        <v>64</v>
      </c>
      <c r="B17" s="2">
        <f t="shared" si="1"/>
        <v>2391.1116921702796</v>
      </c>
    </row>
    <row r="18" spans="1:2" x14ac:dyDescent="0.25">
      <c r="A18" s="3">
        <v>65</v>
      </c>
      <c r="B18" s="2">
        <f t="shared" si="1"/>
        <v>2040.4865625296809</v>
      </c>
    </row>
    <row r="19" spans="1:2" x14ac:dyDescent="0.25">
      <c r="A19" s="3"/>
      <c r="B19" s="2"/>
    </row>
    <row r="20" spans="1:2" x14ac:dyDescent="0.25">
      <c r="A20" s="3"/>
      <c r="B20" s="2"/>
    </row>
    <row r="22" spans="1:2" x14ac:dyDescent="0.25">
      <c r="B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F465-DAD4-4161-AE07-9CEA5B2BD343}">
  <dimension ref="A1:B18"/>
  <sheetViews>
    <sheetView workbookViewId="0">
      <selection activeCell="J31" sqref="J31"/>
    </sheetView>
  </sheetViews>
  <sheetFormatPr defaultRowHeight="15" x14ac:dyDescent="0.25"/>
  <cols>
    <col min="2" max="2" width="17.42578125" bestFit="1" customWidth="1"/>
  </cols>
  <sheetData>
    <row r="1" spans="1:2" x14ac:dyDescent="0.25">
      <c r="A1" t="s">
        <v>7</v>
      </c>
      <c r="B1" t="str">
        <f>appended!B1</f>
        <v>discharge (m^3/s)</v>
      </c>
    </row>
    <row r="2" spans="1:2" x14ac:dyDescent="0.25">
      <c r="A2">
        <f>(appended!A2-appended!A$2)*24</f>
        <v>0</v>
      </c>
      <c r="B2">
        <f>appended!B2</f>
        <v>2094.1063005598403</v>
      </c>
    </row>
    <row r="3" spans="1:2" x14ac:dyDescent="0.25">
      <c r="A3">
        <f>(appended!A3-appended!A$2)*24</f>
        <v>24</v>
      </c>
      <c r="B3">
        <f>appended!B3</f>
        <v>2657.1610656054618</v>
      </c>
    </row>
    <row r="4" spans="1:2" x14ac:dyDescent="0.25">
      <c r="A4">
        <f>(appended!A4-appended!A$2)*24</f>
        <v>48</v>
      </c>
      <c r="B4">
        <f>appended!B4</f>
        <v>3753.8419984628604</v>
      </c>
    </row>
    <row r="5" spans="1:2" x14ac:dyDescent="0.25">
      <c r="A5">
        <f>(appended!A5-appended!A$2)*24</f>
        <v>72</v>
      </c>
      <c r="B5">
        <f>appended!B5</f>
        <v>5889.8847835648139</v>
      </c>
    </row>
    <row r="6" spans="1:2" x14ac:dyDescent="0.25">
      <c r="A6">
        <f>(appended!A6-appended!A$2)*24</f>
        <v>96</v>
      </c>
      <c r="B6">
        <f>appended!B6</f>
        <v>5953.8898923611114</v>
      </c>
    </row>
    <row r="7" spans="1:2" x14ac:dyDescent="0.25">
      <c r="A7">
        <f>(appended!A7-appended!A$2)*24</f>
        <v>120</v>
      </c>
      <c r="B7">
        <f>appended!B7</f>
        <v>9089.1371319444443</v>
      </c>
    </row>
    <row r="8" spans="1:2" x14ac:dyDescent="0.25">
      <c r="A8">
        <f>(appended!A8-appended!A$2)*24</f>
        <v>144</v>
      </c>
      <c r="B8">
        <f>appended!B8</f>
        <v>11052.679579861111</v>
      </c>
    </row>
    <row r="9" spans="1:2" x14ac:dyDescent="0.25">
      <c r="A9">
        <f>(appended!A9-appended!A$2)*24</f>
        <v>168</v>
      </c>
      <c r="B9">
        <f>appended!B9</f>
        <v>10101.276452546295</v>
      </c>
    </row>
    <row r="10" spans="1:2" x14ac:dyDescent="0.25">
      <c r="A10">
        <f>(appended!A10-appended!A$2)*24</f>
        <v>192</v>
      </c>
      <c r="B10">
        <f>appended!B10</f>
        <v>9198.5817476851862</v>
      </c>
    </row>
    <row r="11" spans="1:2" x14ac:dyDescent="0.25">
      <c r="A11">
        <f>(appended!A11-appended!A$2)*24</f>
        <v>216</v>
      </c>
      <c r="B11">
        <f>appended!B11</f>
        <v>8632.3433182870376</v>
      </c>
    </row>
    <row r="12" spans="1:2" x14ac:dyDescent="0.25">
      <c r="A12">
        <f>(appended!A12-appended!A$2)*24</f>
        <v>240</v>
      </c>
      <c r="B12">
        <f>appended!B12</f>
        <v>7684.453342592592</v>
      </c>
    </row>
    <row r="13" spans="1:2" x14ac:dyDescent="0.25">
      <c r="A13">
        <f>(appended!A13-appended!A$2)*24</f>
        <v>264</v>
      </c>
      <c r="B13">
        <f>appended!B13</f>
        <v>6148.2864722222221</v>
      </c>
    </row>
    <row r="14" spans="1:2" x14ac:dyDescent="0.25">
      <c r="A14">
        <f>(appended!A14-appended!A$2)*24</f>
        <v>288</v>
      </c>
      <c r="B14">
        <f>appended!B14</f>
        <v>5493.6855312500002</v>
      </c>
    </row>
    <row r="15" spans="1:2" x14ac:dyDescent="0.25">
      <c r="A15">
        <f>(appended!A15-appended!A$2)*24</f>
        <v>312</v>
      </c>
      <c r="B15">
        <f>appended!B15</f>
        <v>3922.2927199538617</v>
      </c>
    </row>
    <row r="16" spans="1:2" x14ac:dyDescent="0.25">
      <c r="A16">
        <f>(appended!A16-appended!A$2)*24</f>
        <v>336</v>
      </c>
      <c r="B16">
        <f>appended!B16</f>
        <v>2969.1948014507248</v>
      </c>
    </row>
    <row r="17" spans="1:2" x14ac:dyDescent="0.25">
      <c r="A17">
        <f>(appended!A17-appended!A$2)*24</f>
        <v>360</v>
      </c>
      <c r="B17">
        <f>appended!B17</f>
        <v>2391.1116921702796</v>
      </c>
    </row>
    <row r="18" spans="1:2" x14ac:dyDescent="0.25">
      <c r="A18">
        <f>(appended!A18-appended!A$2)*24</f>
        <v>384</v>
      </c>
      <c r="B18">
        <f>appended!B18</f>
        <v>2040.4865625296809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converted</vt:lpstr>
      <vt:lpstr>event window</vt:lpstr>
      <vt:lpstr>appended</vt:lpstr>
      <vt:lpstr>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Omer</cp:lastModifiedBy>
  <dcterms:created xsi:type="dcterms:W3CDTF">2025-12-24T17:15:53Z</dcterms:created>
  <dcterms:modified xsi:type="dcterms:W3CDTF">2025-12-28T11:56:09Z</dcterms:modified>
</cp:coreProperties>
</file>